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mc:AlternateContent xmlns:mc="http://schemas.openxmlformats.org/markup-compatibility/2006">
    <mc:Choice Requires="x15">
      <x15ac:absPath xmlns:x15ac="http://schemas.microsoft.com/office/spreadsheetml/2010/11/ac" url="/Users/kevinarmas/Downloads/"/>
    </mc:Choice>
  </mc:AlternateContent>
  <xr:revisionPtr revIDLastSave="0" documentId="8_{83688611-1CD4-C04D-8707-E18C14C798F6}" xr6:coauthVersionLast="47" xr6:coauthVersionMax="47" xr10:uidLastSave="{00000000-0000-0000-0000-000000000000}"/>
  <bookViews>
    <workbookView xWindow="0" yWindow="660" windowWidth="30240" windowHeight="18980" firstSheet="5" activeTab="5" xr2:uid="{00000000-000D-0000-FFFF-FFFF00000000}"/>
  </bookViews>
  <sheets>
    <sheet name="Capacidades" sheetId="7" r:id="rId1"/>
    <sheet name="Tribus" sheetId="6" r:id="rId2"/>
    <sheet name="Puertos" sheetId="4" r:id="rId3"/>
    <sheet name="Matriz a proveedor" sheetId="12" r:id="rId4"/>
    <sheet name="Criterios de complejidad" sheetId="1" r:id="rId5"/>
    <sheet name="Validacion de servicios" sheetId="2" r:id="rId6"/>
  </sheets>
  <definedNames>
    <definedName name="_xlnm._FilterDatabase" localSheetId="5" hidden="1">'Validacion de servicios'!$A$1:$BC$944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2" i="6"/>
  <c r="E6" i="2"/>
  <c r="B6" i="2" s="1"/>
  <c r="AN115" i="2"/>
  <c r="AO115" i="2" s="1"/>
  <c r="AN114" i="2"/>
  <c r="AO114" i="2" s="1"/>
  <c r="AN113" i="2"/>
  <c r="AO113" i="2" s="1"/>
  <c r="AN112" i="2"/>
  <c r="AO112" i="2" s="1"/>
  <c r="AN111" i="2"/>
  <c r="AO111" i="2" s="1"/>
  <c r="AN110" i="2"/>
  <c r="AO110" i="2" s="1"/>
  <c r="AN109" i="2"/>
  <c r="AO109" i="2" s="1"/>
  <c r="AN108" i="2"/>
  <c r="AO108" i="2" s="1"/>
  <c r="AN107" i="2"/>
  <c r="AO107" i="2" s="1"/>
  <c r="AN106" i="2"/>
  <c r="AO106" i="2" s="1"/>
  <c r="AN105" i="2"/>
  <c r="AO105" i="2" s="1"/>
  <c r="AN104" i="2"/>
  <c r="AO104" i="2" s="1"/>
  <c r="AN103" i="2"/>
  <c r="AO103" i="2" s="1"/>
  <c r="AN102" i="2"/>
  <c r="AO102" i="2" s="1"/>
  <c r="AN101" i="2"/>
  <c r="AO101" i="2" s="1"/>
  <c r="AN100" i="2"/>
  <c r="AO100" i="2" s="1"/>
  <c r="AN99" i="2"/>
  <c r="AO99" i="2" s="1"/>
  <c r="AN98" i="2"/>
  <c r="AO98" i="2" s="1"/>
  <c r="AN97" i="2"/>
  <c r="AO97" i="2" s="1"/>
  <c r="AN96" i="2"/>
  <c r="AO96" i="2" s="1"/>
  <c r="AN95" i="2"/>
  <c r="AO95" i="2" s="1"/>
  <c r="AN94" i="2"/>
  <c r="AO94" i="2" s="1"/>
  <c r="AN93" i="2"/>
  <c r="AO93" i="2" s="1"/>
  <c r="AN92" i="2"/>
  <c r="AO92" i="2" s="1"/>
  <c r="AN91" i="2"/>
  <c r="AO91" i="2" s="1"/>
  <c r="AN90" i="2"/>
  <c r="AO90" i="2" s="1"/>
  <c r="AN89" i="2"/>
  <c r="AO89" i="2" s="1"/>
  <c r="AN88" i="2"/>
  <c r="AO88" i="2" s="1"/>
  <c r="AN87" i="2"/>
  <c r="AO87" i="2" s="1"/>
  <c r="AN86" i="2"/>
  <c r="AO86" i="2" s="1"/>
  <c r="AN85" i="2"/>
  <c r="AO85" i="2" s="1"/>
  <c r="AN84" i="2"/>
  <c r="AO84" i="2" s="1"/>
  <c r="AN83" i="2"/>
  <c r="AO83" i="2" s="1"/>
  <c r="AN82" i="2"/>
  <c r="AO82" i="2" s="1"/>
  <c r="AN81" i="2"/>
  <c r="AO81" i="2" s="1"/>
  <c r="AN80" i="2"/>
  <c r="AO80" i="2" s="1"/>
  <c r="AN79" i="2"/>
  <c r="AO79" i="2" s="1"/>
  <c r="AN78" i="2"/>
  <c r="AO78" i="2" s="1"/>
  <c r="AN77" i="2"/>
  <c r="AO77" i="2" s="1"/>
  <c r="AN76" i="2"/>
  <c r="AO76" i="2" s="1"/>
  <c r="AN75" i="2"/>
  <c r="AO75" i="2" s="1"/>
  <c r="AN74" i="2"/>
  <c r="AO74" i="2" s="1"/>
  <c r="AN73" i="2"/>
  <c r="AO73" i="2" s="1"/>
  <c r="AN72" i="2"/>
  <c r="AO72" i="2" s="1"/>
  <c r="AN71" i="2"/>
  <c r="AO71" i="2" s="1"/>
  <c r="AN70" i="2"/>
  <c r="AO70" i="2" s="1"/>
  <c r="AN69" i="2"/>
  <c r="AO69" i="2" s="1"/>
  <c r="AN68" i="2"/>
  <c r="AO68" i="2" s="1"/>
  <c r="AN67" i="2"/>
  <c r="AO67" i="2" s="1"/>
  <c r="AN66" i="2"/>
  <c r="AO66" i="2" s="1"/>
  <c r="AN65" i="2"/>
  <c r="AO65" i="2" s="1"/>
  <c r="AN64" i="2"/>
  <c r="AO64" i="2" s="1"/>
  <c r="AN63" i="2"/>
  <c r="AO63" i="2" s="1"/>
  <c r="AN62" i="2"/>
  <c r="AO62" i="2" s="1"/>
  <c r="AN61" i="2"/>
  <c r="AO61" i="2" s="1"/>
  <c r="AN60" i="2"/>
  <c r="AO60" i="2" s="1"/>
  <c r="AN59" i="2"/>
  <c r="AO59" i="2" s="1"/>
  <c r="AN58" i="2"/>
  <c r="AO58" i="2" s="1"/>
  <c r="AN57" i="2"/>
  <c r="AO57" i="2" s="1"/>
  <c r="AN56" i="2"/>
  <c r="AO56" i="2" s="1"/>
  <c r="AN55" i="2"/>
  <c r="AO55" i="2" s="1"/>
  <c r="AN54" i="2"/>
  <c r="AO54" i="2" s="1"/>
  <c r="AN53" i="2"/>
  <c r="AO53" i="2" s="1"/>
  <c r="AN52" i="2"/>
  <c r="AO52" i="2" s="1"/>
  <c r="AN51" i="2"/>
  <c r="AO51" i="2" s="1"/>
  <c r="AN50" i="2"/>
  <c r="AO50" i="2" s="1"/>
  <c r="AN49" i="2"/>
  <c r="AO49" i="2" s="1"/>
  <c r="AN48" i="2"/>
  <c r="AO48" i="2" s="1"/>
  <c r="AN47" i="2"/>
  <c r="AO47" i="2" s="1"/>
  <c r="AN46" i="2"/>
  <c r="AO46" i="2" s="1"/>
  <c r="AN45" i="2"/>
  <c r="AO45" i="2" s="1"/>
  <c r="AN44" i="2"/>
  <c r="AO44" i="2" s="1"/>
  <c r="AN43" i="2"/>
  <c r="AO43" i="2" s="1"/>
  <c r="AN42" i="2"/>
  <c r="AO42" i="2" s="1"/>
  <c r="AN41" i="2"/>
  <c r="AO41" i="2" s="1"/>
  <c r="AN40" i="2"/>
  <c r="AO40" i="2" s="1"/>
  <c r="AN39" i="2"/>
  <c r="AO39" i="2" s="1"/>
  <c r="AN38" i="2"/>
  <c r="AO38" i="2" s="1"/>
  <c r="AN37" i="2"/>
  <c r="AO37" i="2" s="1"/>
  <c r="AN36" i="2"/>
  <c r="AO36" i="2" s="1"/>
  <c r="AN35" i="2"/>
  <c r="AO35" i="2" s="1"/>
  <c r="AN34" i="2"/>
  <c r="AO34" i="2" s="1"/>
  <c r="AN33" i="2"/>
  <c r="AO33" i="2" s="1"/>
  <c r="AN32" i="2"/>
  <c r="AO32" i="2" s="1"/>
  <c r="AN31" i="2"/>
  <c r="AO31" i="2" s="1"/>
  <c r="AN30" i="2"/>
  <c r="AO30" i="2" s="1"/>
  <c r="AN29" i="2"/>
  <c r="AO29" i="2" s="1"/>
  <c r="AN28" i="2"/>
  <c r="AO28" i="2" s="1"/>
  <c r="AN27" i="2"/>
  <c r="AO27" i="2" s="1"/>
  <c r="AN26" i="2"/>
  <c r="AO26" i="2" s="1"/>
  <c r="AN25" i="2"/>
  <c r="AO25" i="2" s="1"/>
  <c r="AN24" i="2"/>
  <c r="AO24" i="2" s="1"/>
  <c r="AN23" i="2"/>
  <c r="AO23" i="2" s="1"/>
  <c r="AN22" i="2"/>
  <c r="AO22" i="2" s="1"/>
  <c r="AN21" i="2"/>
  <c r="AO21" i="2" s="1"/>
  <c r="AN20" i="2"/>
  <c r="AO20" i="2" s="1"/>
  <c r="AN19" i="2"/>
  <c r="AO19" i="2" s="1"/>
  <c r="AN18" i="2"/>
  <c r="AO18" i="2" s="1"/>
  <c r="AN17" i="2"/>
  <c r="AO17" i="2" s="1"/>
  <c r="AN16" i="2"/>
  <c r="AO16" i="2" s="1"/>
  <c r="AN15" i="2"/>
  <c r="AO15" i="2" s="1"/>
  <c r="AN14" i="2"/>
  <c r="AO14" i="2" s="1"/>
  <c r="AN13" i="2"/>
  <c r="AO13" i="2" s="1"/>
  <c r="AN12" i="2"/>
  <c r="AO12" i="2" s="1"/>
  <c r="AN11" i="2"/>
  <c r="AO11" i="2" s="1"/>
  <c r="AN10" i="2"/>
  <c r="AO10" i="2" s="1"/>
  <c r="AN9" i="2"/>
  <c r="AO9" i="2" s="1"/>
  <c r="AN8" i="2"/>
  <c r="AO8" i="2" s="1"/>
  <c r="AN7" i="2"/>
  <c r="AO7" i="2" s="1"/>
  <c r="AN6" i="2"/>
  <c r="AO6" i="2" s="1"/>
  <c r="AN5" i="2"/>
  <c r="AO5" i="2" s="1"/>
  <c r="AN4" i="2"/>
  <c r="AO4" i="2" s="1"/>
  <c r="AN3" i="2"/>
  <c r="AO3" i="2" s="1"/>
  <c r="AN2" i="2"/>
  <c r="AO2" i="2" s="1"/>
  <c r="E115" i="2"/>
  <c r="B115" i="2" s="1"/>
  <c r="E114" i="2"/>
  <c r="B114" i="2" s="1"/>
  <c r="E112" i="2"/>
  <c r="B112" i="2" s="1"/>
  <c r="E113" i="2"/>
  <c r="B113" i="2" s="1"/>
  <c r="E111" i="2"/>
  <c r="B111" i="2" s="1"/>
  <c r="E110" i="2"/>
  <c r="B110" i="2" s="1"/>
  <c r="E109" i="2"/>
  <c r="B109" i="2" s="1"/>
  <c r="E108" i="2"/>
  <c r="B108" i="2" s="1"/>
  <c r="E107" i="2"/>
  <c r="E104" i="2"/>
  <c r="B104" i="2" s="1"/>
  <c r="E105" i="2"/>
  <c r="B105" i="2" s="1"/>
  <c r="E106" i="2"/>
  <c r="B106" i="2" s="1"/>
  <c r="E100" i="2"/>
  <c r="B100" i="2" s="1"/>
  <c r="E101" i="2"/>
  <c r="B101" i="2" s="1"/>
  <c r="E102" i="2"/>
  <c r="B102" i="2" s="1"/>
  <c r="E103" i="2"/>
  <c r="B103" i="2" s="1"/>
  <c r="E97" i="2"/>
  <c r="B97" i="2" s="1"/>
  <c r="E98" i="2"/>
  <c r="B98" i="2" s="1"/>
  <c r="E99" i="2"/>
  <c r="B99" i="2" s="1"/>
  <c r="E95" i="2"/>
  <c r="B95" i="2" s="1"/>
  <c r="E96" i="2"/>
  <c r="B96" i="2" s="1"/>
  <c r="E94" i="2"/>
  <c r="B94" i="2" s="1"/>
  <c r="E93" i="2"/>
  <c r="B93" i="2" s="1"/>
  <c r="E91" i="2"/>
  <c r="B91" i="2" s="1"/>
  <c r="E92" i="2"/>
  <c r="B92" i="2" s="1"/>
  <c r="E90" i="2"/>
  <c r="B90" i="2" s="1"/>
  <c r="E89" i="2"/>
  <c r="B89" i="2" s="1"/>
  <c r="E88" i="2"/>
  <c r="B88" i="2" s="1"/>
  <c r="E87" i="2"/>
  <c r="B87" i="2" s="1"/>
  <c r="E85" i="2"/>
  <c r="B85" i="2" s="1"/>
  <c r="E86" i="2"/>
  <c r="B86" i="2" s="1"/>
  <c r="E84" i="2"/>
  <c r="B84" i="2" s="1"/>
  <c r="E83" i="2"/>
  <c r="B83" i="2" s="1"/>
  <c r="E82" i="2"/>
  <c r="B82" i="2" s="1"/>
  <c r="E81" i="2"/>
  <c r="B81" i="2" s="1"/>
  <c r="E79" i="2"/>
  <c r="B79" i="2" s="1"/>
  <c r="E80" i="2"/>
  <c r="B80" i="2" s="1"/>
  <c r="E78" i="2"/>
  <c r="B78" i="2" s="1"/>
  <c r="E76" i="2"/>
  <c r="B76" i="2" s="1"/>
  <c r="E77" i="2"/>
  <c r="B77" i="2" s="1"/>
  <c r="E69" i="2"/>
  <c r="B69" i="2" s="1"/>
  <c r="E70" i="2"/>
  <c r="B70" i="2" s="1"/>
  <c r="E71" i="2"/>
  <c r="B71" i="2" s="1"/>
  <c r="E72" i="2"/>
  <c r="B72" i="2" s="1"/>
  <c r="E73" i="2"/>
  <c r="B73" i="2" s="1"/>
  <c r="E74" i="2"/>
  <c r="B74" i="2" s="1"/>
  <c r="E75" i="2"/>
  <c r="B75" i="2" s="1"/>
  <c r="E60" i="2"/>
  <c r="B60" i="2" s="1"/>
  <c r="E61" i="2"/>
  <c r="B61" i="2" s="1"/>
  <c r="E62" i="2"/>
  <c r="B62" i="2" s="1"/>
  <c r="E63" i="2"/>
  <c r="B63" i="2" s="1"/>
  <c r="E64" i="2"/>
  <c r="B64" i="2" s="1"/>
  <c r="E65" i="2"/>
  <c r="B65" i="2" s="1"/>
  <c r="E66" i="2"/>
  <c r="B66" i="2" s="1"/>
  <c r="E67" i="2"/>
  <c r="B67" i="2" s="1"/>
  <c r="E68" i="2"/>
  <c r="B68" i="2" s="1"/>
  <c r="E54" i="2"/>
  <c r="B54" i="2" s="1"/>
  <c r="E55" i="2"/>
  <c r="E56" i="2"/>
  <c r="B56" i="2" s="1"/>
  <c r="E57" i="2"/>
  <c r="B57" i="2" s="1"/>
  <c r="E58" i="2"/>
  <c r="B58" i="2" s="1"/>
  <c r="E59" i="2"/>
  <c r="B59" i="2" s="1"/>
  <c r="E53" i="2"/>
  <c r="B53" i="2" s="1"/>
  <c r="E51" i="2"/>
  <c r="B51" i="2" s="1"/>
  <c r="E52" i="2"/>
  <c r="B52" i="2" s="1"/>
  <c r="E45" i="2"/>
  <c r="B45" i="2" s="1"/>
  <c r="E46" i="2"/>
  <c r="B46" i="2" s="1"/>
  <c r="E47" i="2"/>
  <c r="B47" i="2" s="1"/>
  <c r="E48" i="2"/>
  <c r="B48" i="2" s="1"/>
  <c r="E49" i="2"/>
  <c r="B49" i="2" s="1"/>
  <c r="E50" i="2"/>
  <c r="B50" i="2" s="1"/>
  <c r="E43" i="2"/>
  <c r="B43" i="2" s="1"/>
  <c r="E44" i="2"/>
  <c r="B44" i="2" s="1"/>
  <c r="E38" i="2"/>
  <c r="B38" i="2" s="1"/>
  <c r="E39" i="2"/>
  <c r="B39" i="2" s="1"/>
  <c r="E40" i="2"/>
  <c r="B40" i="2" s="1"/>
  <c r="E41" i="2"/>
  <c r="B41" i="2" s="1"/>
  <c r="E42" i="2"/>
  <c r="B42" i="2" s="1"/>
  <c r="E36" i="2"/>
  <c r="B36" i="2" s="1"/>
  <c r="E37" i="2"/>
  <c r="B37" i="2" s="1"/>
  <c r="E21" i="2"/>
  <c r="B21" i="2" s="1"/>
  <c r="E22" i="2"/>
  <c r="B22" i="2" s="1"/>
  <c r="E23" i="2"/>
  <c r="B23" i="2" s="1"/>
  <c r="E24" i="2"/>
  <c r="B24" i="2" s="1"/>
  <c r="E25" i="2"/>
  <c r="B25" i="2" s="1"/>
  <c r="E26" i="2"/>
  <c r="B26" i="2" s="1"/>
  <c r="E27" i="2"/>
  <c r="B27" i="2" s="1"/>
  <c r="E28" i="2"/>
  <c r="B28" i="2" s="1"/>
  <c r="E29" i="2"/>
  <c r="B29" i="2" s="1"/>
  <c r="E30" i="2"/>
  <c r="B30" i="2" s="1"/>
  <c r="E31" i="2"/>
  <c r="B31" i="2" s="1"/>
  <c r="E32" i="2"/>
  <c r="B32" i="2" s="1"/>
  <c r="E33" i="2"/>
  <c r="B33" i="2" s="1"/>
  <c r="E34" i="2"/>
  <c r="B34" i="2" s="1"/>
  <c r="E35" i="2"/>
  <c r="B35" i="2" s="1"/>
  <c r="E2" i="2"/>
  <c r="B2" i="2" s="1"/>
  <c r="E3" i="2"/>
  <c r="B3" i="2" s="1"/>
  <c r="E4" i="2"/>
  <c r="B4" i="2" s="1"/>
  <c r="E5" i="2"/>
  <c r="B5" i="2" s="1"/>
  <c r="E7" i="2"/>
  <c r="B7" i="2" s="1"/>
  <c r="E8" i="2"/>
  <c r="B8" i="2" s="1"/>
  <c r="E9" i="2"/>
  <c r="B9" i="2" s="1"/>
  <c r="E10" i="2"/>
  <c r="B10" i="2" s="1"/>
  <c r="E11" i="2"/>
  <c r="B11" i="2" s="1"/>
  <c r="E12" i="2"/>
  <c r="B12" i="2" s="1"/>
  <c r="E13" i="2"/>
  <c r="B13" i="2" s="1"/>
  <c r="E14" i="2"/>
  <c r="B14" i="2" s="1"/>
  <c r="E15" i="2"/>
  <c r="B15" i="2" s="1"/>
  <c r="E16" i="2"/>
  <c r="B16" i="2" s="1"/>
  <c r="E17" i="2"/>
  <c r="B17" i="2" s="1"/>
  <c r="E18" i="2"/>
  <c r="B18" i="2" s="1"/>
  <c r="E19" i="2"/>
  <c r="B19" i="2" s="1"/>
  <c r="E20" i="2"/>
  <c r="B20" i="2" s="1"/>
  <c r="AR84" i="2"/>
  <c r="BA102" i="2"/>
  <c r="BC107" i="2" s="1"/>
  <c r="AR95" i="2"/>
  <c r="AR96" i="2"/>
  <c r="AR97" i="2"/>
  <c r="AR98" i="2"/>
  <c r="AR99" i="2"/>
  <c r="AR100" i="2"/>
  <c r="AR101" i="2"/>
  <c r="AR102" i="2"/>
  <c r="AR103" i="2"/>
  <c r="AR104" i="2"/>
  <c r="AR105" i="2"/>
  <c r="AR106" i="2"/>
  <c r="AR107" i="2"/>
  <c r="AR108" i="2"/>
  <c r="AR109" i="2"/>
  <c r="AR110" i="2"/>
  <c r="AR111" i="2"/>
  <c r="AR112" i="2"/>
  <c r="AR113" i="2"/>
  <c r="AR114" i="2"/>
  <c r="AR115" i="2"/>
  <c r="AR90" i="2"/>
  <c r="AR91" i="2"/>
  <c r="AR92" i="2"/>
  <c r="AR93" i="2"/>
  <c r="AR94" i="2"/>
  <c r="AR3"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5" i="2"/>
  <c r="AR86" i="2"/>
  <c r="AR87" i="2"/>
  <c r="AR88" i="2"/>
  <c r="AR89" i="2"/>
  <c r="AR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tc={53769C19-F720-4F3A-B192-78ADF321A22C}</author>
    <author>tc={40EECF10-91F4-4400-9A09-0EDDFBD6C479}</author>
    <author>tc={E4FAB521-F92B-4F45-9BB8-68F351719A83}</author>
    <author>tc={80B3AF81-6F71-4995-9C08-753A95F07A0E}</author>
    <author>tc={57E6F914-A5AD-405F-AA30-ACCD13B97911}</author>
    <author>tc={446ABC89-3C34-4D32-B9CF-DF460FCBDBC7}</author>
  </authors>
  <commentList>
    <comment ref="X1" authorId="0" shapeId="0" xr:uid="{53769C19-F720-4F3A-B192-78ADF321A22C}">
      <text>
        <t>[Comentario encadenado]
Tu versión de Excel te permite leer este comentario encadenado; sin embargo, las ediciones que se apliquen se quitarán si el archivo se abre en una versión más reciente de Excel. Más información: https://go.microsoft.com/fwlink/?linkid=870924
Comentario:
    Considerar el calculo por todos los grupos de ejecución</t>
      </text>
    </comment>
    <comment ref="I38" authorId="1" shapeId="0" xr:uid="{40EECF10-91F4-4400-9A09-0EDDFBD6C479}">
      <text>
        <t>[Comentario encadenado]
Tu versión de Excel te permite leer este comentario encadenado; sin embargo, las ediciones que se apliquen se quitarán si el archivo se abre en una versión más reciente de Excel. Más información: https://go.microsoft.com/fwlink/?linkid=870924
Comentario:
    A Desarrollo porq si se evidencia transaccionalidad</t>
      </text>
    </comment>
    <comment ref="J65" authorId="2" shapeId="0" xr:uid="{E4FAB521-F92B-4F45-9BB8-68F351719A83}">
      <text>
        <t>[Comentario encadenado]
Tu versión de Excel te permite leer este comentario encadenado; sin embargo, las ediciones que se apliquen se quitarán si el archivo se abre en una versión más reciente de Excel. Más información: https://go.microsoft.com/fwlink/?linkid=870924
Comentario:
    Cual es el backend??</t>
      </text>
    </comment>
    <comment ref="AF76" authorId="3" shapeId="0" xr:uid="{80B3AF81-6F71-4995-9C08-753A95F07A0E}">
      <text>
        <t>[Comentario encadenado]
Tu versión de Excel te permite leer este comentario encadenado; sin embargo, las ediciones que se apliquen se quitarán si el archivo se abre en una versión más reciente de Excel. Más información: https://go.microsoft.com/fwlink/?linkid=870924
Comentario:
    en Controller agregar nombre del servicio que se visualiza en el dynatrace</t>
      </text>
    </comment>
    <comment ref="AF107" authorId="4" shapeId="0" xr:uid="{57E6F914-A5AD-405F-AA30-ACCD13B97911}">
      <text>
        <t>[Comentario encadenado]
Tu versión de Excel te permite leer este comentario encadenado; sin embargo, las ediciones que se apliquen se quitarán si el archivo se abre en una versión más reciente de Excel. Más información: https://go.microsoft.com/fwlink/?linkid=870924
Comentario:
    A nivel de dynatrace se identifico varios orquestadores que no se registro en el excel,</t>
      </text>
    </comment>
    <comment ref="AL107" authorId="5" shapeId="0" xr:uid="{446ABC89-3C34-4D32-B9CF-DF460FCBDBC7}">
      <text>
        <t>[Comentario encadenado]
Tu versión de Excel te permite leer este comentario encadenado; sin embargo, las ediciones que se apliquen se quitarán si el archivo se abre en una versión más reciente de Excel. Más información: https://go.microsoft.com/fwlink/?linkid=870924
Comentario:
    Nombre del metodo, no numero</t>
      </text>
    </comment>
  </commentList>
</comments>
</file>

<file path=xl/sharedStrings.xml><?xml version="1.0" encoding="utf-8"?>
<sst xmlns="http://schemas.openxmlformats.org/spreadsheetml/2006/main" count="4095" uniqueCount="1643">
  <si>
    <t>Gestión de Dirección Empresarial</t>
  </si>
  <si>
    <t>Gestión de Políticas</t>
  </si>
  <si>
    <t>Gestión de Entidades Empresariales</t>
  </si>
  <si>
    <t>Gestión de Riesgos</t>
  </si>
  <si>
    <t>Gestión Financiera</t>
  </si>
  <si>
    <t>Gestión de Incidentes de Fraude</t>
  </si>
  <si>
    <t>Gestión de Iniciativas</t>
  </si>
  <si>
    <t>Gestión de Inversionistas</t>
  </si>
  <si>
    <t>Gestión de Acuerdos y Contratos con Clientes</t>
  </si>
  <si>
    <t>Gestión de Instrumentos Financieros</t>
  </si>
  <si>
    <t>Gestión de Planes Financieros</t>
  </si>
  <si>
    <t>Gestión de Portafolios de Inversión</t>
  </si>
  <si>
    <t>Gestión de Habilitantes de Pago</t>
  </si>
  <si>
    <t>Gestión de Envíos y Recepción de Dinero</t>
  </si>
  <si>
    <t>Gestión de Órdenes para Productos y Servicios</t>
  </si>
  <si>
    <t>Gestión de Productos y Servicios</t>
  </si>
  <si>
    <t>Gestión de Financiamiento de Comercio</t>
  </si>
  <si>
    <t>Gestión de Pagos</t>
  </si>
  <si>
    <t>Gestión de Garantías y Avalúos</t>
  </si>
  <si>
    <t>Gestión de Propiedad Intelectual</t>
  </si>
  <si>
    <t>Gestión de Instalaciones, Mobiliario y Equipos</t>
  </si>
  <si>
    <t>Gestión del Capital Humano</t>
  </si>
  <si>
    <t>Gestión Centralizada de Tareas</t>
  </si>
  <si>
    <t>Gestión de Proveedores y Contratistas</t>
  </si>
  <si>
    <t>Gestión de Habilidades y Competencias</t>
  </si>
  <si>
    <t>Gestión de la Información</t>
  </si>
  <si>
    <t>Gestión de Incidentes</t>
  </si>
  <si>
    <t>Gestión de Reclamos y Requerimientos</t>
  </si>
  <si>
    <t>Gestión Documental</t>
  </si>
  <si>
    <t>Gestión de Ubicaciones</t>
  </si>
  <si>
    <t>Gestión de Apoyo Legal y Cumplimiento</t>
  </si>
  <si>
    <t>Gestión de Marca</t>
  </si>
  <si>
    <t>Gestión de Campañas</t>
  </si>
  <si>
    <t>Gestión Mercados</t>
  </si>
  <si>
    <t>Gestión de Comunicados</t>
  </si>
  <si>
    <t>Gestión de Lealtad</t>
  </si>
  <si>
    <t>Gestión de Prospectos</t>
  </si>
  <si>
    <t>Gestión de Ofertas</t>
  </si>
  <si>
    <t>Gestión de Clientes</t>
  </si>
  <si>
    <t>Gestión de Canales</t>
  </si>
  <si>
    <t>Gestión de Socios</t>
  </si>
  <si>
    <t>Gestión de Interacciones de Canales</t>
  </si>
  <si>
    <t>Experiencia del Cliente</t>
  </si>
  <si>
    <t>Gestión Tecnológica</t>
  </si>
  <si>
    <t>Gestión de Procesos Empresariales</t>
  </si>
  <si>
    <t>Gestión de la Seguridad</t>
  </si>
  <si>
    <t>Gestión de Integración e Interoperabilidad</t>
  </si>
  <si>
    <t>TRIBU</t>
  </si>
  <si>
    <t>ACRONIMOS</t>
  </si>
  <si>
    <t>TRIBU ADMINISTRACION DE CREDITO</t>
  </si>
  <si>
    <t>tac</t>
  </si>
  <si>
    <t>TRIBU CANALES</t>
  </si>
  <si>
    <t>tca</t>
  </si>
  <si>
    <t>COE DATOS &amp; ANALITICA</t>
  </si>
  <si>
    <t>cda</t>
  </si>
  <si>
    <t>TRIBU EMPRESAS</t>
  </si>
  <si>
    <t>tem</t>
  </si>
  <si>
    <t>TRIBU MEDIOS DE PAGO</t>
  </si>
  <si>
    <t>tmp</t>
  </si>
  <si>
    <t>TRIBU PRODUCTOS</t>
  </si>
  <si>
    <t>tpr</t>
  </si>
  <si>
    <t>TRIBU SEGMENTOS Y NEGOCIOS DIGITALES</t>
  </si>
  <si>
    <t>tnd</t>
  </si>
  <si>
    <t>AREA MICROFINANZAS</t>
  </si>
  <si>
    <t>tmi</t>
  </si>
  <si>
    <t>COE CIBERSEGURIDAD</t>
  </si>
  <si>
    <t>csg</t>
  </si>
  <si>
    <t>COE EXPERIENCIA</t>
  </si>
  <si>
    <t>COE LACE</t>
  </si>
  <si>
    <t>CHAPTER ARQUITECTURA</t>
  </si>
  <si>
    <t>TRIBU INFRAESTRUCTURA</t>
  </si>
  <si>
    <t>CONTROL_TI</t>
  </si>
  <si>
    <t>TRIBU AREAS DE APOYO</t>
  </si>
  <si>
    <t>taa</t>
  </si>
  <si>
    <t>TORRES Y SERVICIOS</t>
  </si>
  <si>
    <t>AREA REMESAS</t>
  </si>
  <si>
    <t>trm</t>
  </si>
  <si>
    <t>TRIBU CORES Y TRANSACCIONES</t>
  </si>
  <si>
    <t>tct</t>
  </si>
  <si>
    <t>COE DE TRANSFORMACIÓN DE PROCESOS Y AUTOMATIZACION</t>
  </si>
  <si>
    <t>cee</t>
  </si>
  <si>
    <t>bzp-middleware</t>
  </si>
  <si>
    <t>AREA TECNOLOGIA TI</t>
  </si>
  <si>
    <t>CASH MANAGEMENT</t>
  </si>
  <si>
    <t>COE ENGINEERING</t>
  </si>
  <si>
    <t>DEUDA TECNICA</t>
  </si>
  <si>
    <t>MODELO DE ATENCION</t>
  </si>
  <si>
    <t>TRIBU INTEGRACIONES Y NUEVAS CAPACIDADES</t>
  </si>
  <si>
    <t>tia</t>
  </si>
  <si>
    <t>POR ASIGNAR</t>
  </si>
  <si>
    <t>ECOSISTEMA</t>
  </si>
  <si>
    <t>Gerencia Proyectos Especiales</t>
  </si>
  <si>
    <t>GERENCIA ARQUITECTURA USUARIO FINAL</t>
  </si>
  <si>
    <t>GERENCIA SEGURIDAD APLICADA</t>
  </si>
  <si>
    <t>GERENCIA SRE</t>
  </si>
  <si>
    <t>TRIBU_DE_UNA</t>
  </si>
  <si>
    <t>MULTIPROTOCOL GATEWAY</t>
  </si>
  <si>
    <t>PUERTOS HTTP</t>
  </si>
  <si>
    <t>PUERTOS HTTPS</t>
  </si>
  <si>
    <t>PROTOCOLO</t>
  </si>
  <si>
    <t>MPG_HTTPS_External_Services</t>
  </si>
  <si>
    <t>SOAP</t>
  </si>
  <si>
    <t>MPG_IIB_HTTP_SERVICES</t>
  </si>
  <si>
    <t>MPG_IIB_SANDBOX</t>
  </si>
  <si>
    <t>MPG_IIB_SANDBOX_BIMO</t>
  </si>
  <si>
    <t>MPG_IIB_TFGENERICO</t>
  </si>
  <si>
    <t>MPG_PSMDW_HTTP_SERVICES</t>
  </si>
  <si>
    <t>MPGW_BATCH_SOAP_TECNICOS</t>
  </si>
  <si>
    <t>MPGW_ESB_JSON_BALANCEO_TECNICOS</t>
  </si>
  <si>
    <t>REST</t>
  </si>
  <si>
    <t>MPGW_ESB_MQ_LOGS_JSON_TECNICOS</t>
  </si>
  <si>
    <t>MPGW_ESB_MQ_LOGS_TECNICOS</t>
  </si>
  <si>
    <t>MPGW_ESB_REST_TECNICOS</t>
  </si>
  <si>
    <t>MPGW_ESB_SOAP_BALANCEO_TECNICOS</t>
  </si>
  <si>
    <t>MPGW_ESB_SOAP_TECNICOS</t>
  </si>
  <si>
    <t>MPGW_EXT_XML_WATCHLIST</t>
  </si>
  <si>
    <t>MPGW_EXT_SOAP_WATCHLIST</t>
  </si>
  <si>
    <t>MPGW_EXT_REST_WATCHLIST</t>
  </si>
  <si>
    <t>MPGW_ESB_SOAP_SOPORTE</t>
  </si>
  <si>
    <t>MPGW_ESB_REST_SOPORTE</t>
  </si>
  <si>
    <t>MPGW_AYS_REST_BANRED</t>
  </si>
  <si>
    <t>MPGW_ESB_REST_ADMINISTRACION</t>
  </si>
  <si>
    <t>MPGW_ESB_SOAP_ADMINISTRACION</t>
  </si>
  <si>
    <t>MPGW_ESB_REST_PAGOS</t>
  </si>
  <si>
    <t>MPGW_ESB_SOAP_PAGOS</t>
  </si>
  <si>
    <t>MPGW_ESB_REST_PRODUCTOS</t>
  </si>
  <si>
    <t>MPGW_ESB_SOAP_PRODUCTOS</t>
  </si>
  <si>
    <t>MPGW_ESB_REST_REGLAS</t>
  </si>
  <si>
    <t>MPGW_ESB_SOAP_REGLAS</t>
  </si>
  <si>
    <t>MPGW_ESB_REST_SEGURIDAD</t>
  </si>
  <si>
    <t>MPGW_ESB_SOAP_SEGURIDAD</t>
  </si>
  <si>
    <t>MPGW_ESB_AAA_SOAP_SEGURIDAD</t>
  </si>
  <si>
    <t>MPGW_ESB_REST_TRANSFERENCIAS</t>
  </si>
  <si>
    <t>MPGW_ESB_SOAP_TRANSFERENCIAS</t>
  </si>
  <si>
    <t>MPGW_ESB_REST_CLIENTES</t>
  </si>
  <si>
    <t>MPGW_ESB_SOAP_CLIENTES</t>
  </si>
  <si>
    <t>Datos a enviar al proveedor</t>
  </si>
  <si>
    <t>Nombre actual</t>
  </si>
  <si>
    <t>Descripción</t>
  </si>
  <si>
    <t>Nombre migrado</t>
  </si>
  <si>
    <t>Criticidad</t>
  </si>
  <si>
    <t>URL IcePanel</t>
  </si>
  <si>
    <t>URL WSDL</t>
  </si>
  <si>
    <t>URL Repositorio</t>
  </si>
  <si>
    <t>Protocolos</t>
  </si>
  <si>
    <t>Consumidores</t>
  </si>
  <si>
    <t>Tribu onwer</t>
  </si>
  <si>
    <t>Criterio</t>
  </si>
  <si>
    <t>Baja</t>
  </si>
  <si>
    <t>Media</t>
  </si>
  <si>
    <t>Alta</t>
  </si>
  <si>
    <t>Observación</t>
  </si>
  <si>
    <t>Fuente</t>
  </si>
  <si>
    <t>Integraciones</t>
  </si>
  <si>
    <t>1 sistema</t>
  </si>
  <si>
    <t>2-3 sistemas</t>
  </si>
  <si>
    <t>Más de 3 sistemas</t>
  </si>
  <si>
    <t>Cuantos backend consume el servicio?</t>
  </si>
  <si>
    <t>Codigo / Dynatrace</t>
  </si>
  <si>
    <t>Solo SOAP o solo REST</t>
  </si>
  <si>
    <t>SOAP + REST o JMS</t>
  </si>
  <si>
    <t>Múltiples protocolos (REST, SOAP, FTP, MQ, etc.)</t>
  </si>
  <si>
    <t>Por cuantos protocolos es consumido el servicio?</t>
  </si>
  <si>
    <t>Dynatrace</t>
  </si>
  <si>
    <t>Transformaciones de datos</t>
  </si>
  <si>
    <t>Mínimas o nulas (0-1)</t>
  </si>
  <si>
    <t>Mapeos simples (JSON ↔ XML)
Persistencia Datos (2-3)
Cifrado o Encriptacion</t>
  </si>
  <si>
    <t>XSLT complejos, múltiples formatos
Persistencia Datos (&gt;3)
Cifrado y Encriptacion</t>
  </si>
  <si>
    <t>Realiza transformaciones de data para consumo de algun backend??</t>
  </si>
  <si>
    <t>Codigo</t>
  </si>
  <si>
    <t>Cache</t>
  </si>
  <si>
    <t>Ninguno</t>
  </si>
  <si>
    <t>Parcialmente</t>
  </si>
  <si>
    <t>Persistencia compleja</t>
  </si>
  <si>
    <t>Maneja guardado de información en cache obtenida desde algun backend?</t>
  </si>
  <si>
    <t>Volumen de datos</t>
  </si>
  <si>
    <t>&lt; 50 K</t>
  </si>
  <si>
    <t>50 K - 1M</t>
  </si>
  <si>
    <t>&gt; 1 M</t>
  </si>
  <si>
    <t>Obtener numero de transacciones del servicio en dia mas transaccional desde dynatrace (recomendado quincena o fin de mes)</t>
  </si>
  <si>
    <t>Impacto en otros servicios</t>
  </si>
  <si>
    <t>Independiente (ORQ) (puede ser probado por la app)</t>
  </si>
  <si>
    <t>Afecta algunos servicios omni (WS)</t>
  </si>
  <si>
    <t>Altamente acoplado, impacto transversal (Servicio Generico)</t>
  </si>
  <si>
    <t>Es un servicio transversal o genérico?</t>
  </si>
  <si>
    <t>Baja para todos</t>
  </si>
  <si>
    <t>1 consumidor</t>
  </si>
  <si>
    <t>2 -3 consumidores</t>
  </si>
  <si>
    <t>mas de 3 consumidores</t>
  </si>
  <si>
    <t>Cuantas aplicaciones consumen el servicio?</t>
  </si>
  <si>
    <t>Dynatrace / Logs</t>
  </si>
  <si>
    <t>Interacción con proveedores externos</t>
  </si>
  <si>
    <t>1 proveedor</t>
  </si>
  <si>
    <t>2 o mas proveedores</t>
  </si>
  <si>
    <t>El servicio es consumido o consume algun servicio de proveedor? Banred, interdin, otros</t>
  </si>
  <si>
    <t>Dynatrace / Código</t>
  </si>
  <si>
    <t>Metodos que expone</t>
  </si>
  <si>
    <t>1 metodo</t>
  </si>
  <si>
    <t>2 -3 metodos</t>
  </si>
  <si>
    <t>Más de 3 metodos</t>
  </si>
  <si>
    <t>Metodos que expone el servicio</t>
  </si>
  <si>
    <t>Servicio</t>
  </si>
  <si>
    <t>Nuevo nombre</t>
  </si>
  <si>
    <t>Descripción / Funcionalidad</t>
  </si>
  <si>
    <t>ACRONIMO</t>
  </si>
  <si>
    <t>Tecnologia</t>
  </si>
  <si>
    <t>Tipo</t>
  </si>
  <si>
    <t>Estado del análisis</t>
  </si>
  <si>
    <t>Estado del servicio</t>
  </si>
  <si>
    <t>Integraciones / Consume</t>
  </si>
  <si>
    <t>Tecnologia del backend</t>
  </si>
  <si>
    <t>Tecnologia para despliegue de servicio migrado</t>
  </si>
  <si>
    <t># Integraciones</t>
  </si>
  <si>
    <t>Peso</t>
  </si>
  <si>
    <t>Protocolos de consumo</t>
  </si>
  <si>
    <t># Protocolos</t>
  </si>
  <si>
    <t># de transformaciones</t>
  </si>
  <si>
    <t>Cache Adicional al config</t>
  </si>
  <si>
    <t>Archivo o servicio de donde obtiene informacion para cache</t>
  </si>
  <si>
    <t>Volumen de datos / Request</t>
  </si>
  <si>
    <t>Volumen de datos / Response time</t>
  </si>
  <si>
    <t>TPM promedio (rango 2 horas)</t>
  </si>
  <si>
    <t>TPM hora pico (rango 2 horas)</t>
  </si>
  <si>
    <t>Tribu consumidor</t>
  </si>
  <si>
    <t>Consumidores / Servicios</t>
  </si>
  <si>
    <t>Consumidores / Sitios</t>
  </si>
  <si>
    <t># de consumidores</t>
  </si>
  <si>
    <t>Peso del servicio</t>
  </si>
  <si>
    <t>Complejidad del servicio</t>
  </si>
  <si>
    <t>Proveedor que migrara el servicio</t>
  </si>
  <si>
    <t>Observación Discovery</t>
  </si>
  <si>
    <t>Priorizacion</t>
  </si>
  <si>
    <t>LINK ICEPANEL</t>
  </si>
  <si>
    <t>LINK WSDL</t>
  </si>
  <si>
    <t>LINK CODIGO</t>
  </si>
  <si>
    <t>OLA</t>
  </si>
  <si>
    <t>Consumen tecnologia deprecada</t>
  </si>
  <si>
    <t>Bus Omnicanalidad</t>
  </si>
  <si>
    <t>WS</t>
  </si>
  <si>
    <t>Completado</t>
  </si>
  <si>
    <t>A Desarrollo</t>
  </si>
  <si>
    <t>ON-PREMISE</t>
  </si>
  <si>
    <t>Ninguna</t>
  </si>
  <si>
    <t>Makensi</t>
  </si>
  <si>
    <t>ORQClientes0002</t>
  </si>
  <si>
    <t>Consulta información básica del cliente</t>
  </si>
  <si>
    <t>ORQ</t>
  </si>
  <si>
    <t xml:space="preserve">	WSTecnicos0036 (ConsultarDetalleTransaccionDelay03) - umptecnicos0111 (ConsultarDetalleTransaccionDelayCTServicio) -&gt;
			BDD: PPOMNICA
			ESQUEMA: TRANESPERA
			TABLA: OMN_TRA_TRANSACCION_ESPERA
	WSTecnicos0006 (ConsultarAtributosTransaccion01) -&gt; UMPTransferencias0001 (ValidarCupoCanalTransferencia51) -&gt; TX031967 (Validación de cupo sobre cuenta para transferencias en la Banca Electrónica.)
													 -&gt; UMPTecnicos0025 (ConsultarDetallesEntidadFinanciera01) -&gt; URL WAS http://10.151.8.62:8934/Omnicanalidad/AplicationServer/WSTecnicos0008 (Consulta detalles entidad financiera)
													 -&gt; UMPProductos0045 (ConsultarCobroReferenciaBancaria01) -&gt; TX000503 (Consulta de cobro referencia bancaria.)
	WSClientes0024 (ConsultarIdentificacion01) 	-&gt; UMPClientes0002 (ConsultarInformacionBasica01) -&gt; TX060480 (Consulta datos de contacto para cliente de BEP e información básica)
												-&gt; UMPClientes0181 (ConsultarInformacionBasicaOPS01) -&gt; URL OCP https://mdw-msa-sp-tmp-customer-enp.apps.ocptest.uiotest.bpichinchatest.test/PartyReferenceDataDirectory/Reference/Retrieve (ConsultarInformacionBasicaOPS01)
	WSClientes0007 (ConsultarContactoTransaccional01) 	-&gt; UMPClientes0002 (ConsultarInformacionBasica01) -&gt; TX060480 (Consulta datos de contacto para cliente de BEP e información básica)
														-&gt; UMPClientes0028 (ConsultarIdentificacion01) NO SE USA
														-&gt; UMPClientes0003 (ConsultarContactoNotificacion01) -&gt; TX067186 (Consulta datos de contacto para cliente de BEP e información básica)
														-&gt; UMPClientes0020 (ConsultaInformacionCliente01) -&gt; TX067050 (Consulta información basica del cliente mediante TX067050.)
														-&gt; UMPClientes0005 (ActualizarContactoTransaccional31) -&gt; TX067186 (Actualiza datos del contacto transaccional)
	WSClientes0006 (ConsultarInformacionBasica01) 	-&gt; UMPClientes0020 (ConsultaInformacionCliente01) -&gt; TX067050 (Consulta información basica del cliente mediante TX067050.)
													-&gt; UMPTecnicos0006 (ConsultarTransaccionCatalogo01) -&gt; TX079006 (Consultar TX de catalogo: ciudad, nacionalidad, agencia)
													-&gt; UMPClientes0042 (ConsultarReferencia01) -&gt; TX062120 (Consulta de Cuentas del cliente en Bancs)</t>
  </si>
  <si>
    <t>Bus Omnicanalidad
Was Omnicanalidad</t>
  </si>
  <si>
    <t>api
8912
api - 443 - https://apis.pichincha.com/support/apigee/orqclientes0002/v1/api/customers-persons-contact-points/retrieve (APIM) -&gt; datapowr interno
api - 443 - https://api.pichincha.com/sda/tcs/ORQClientes0002 (APIGEE) -&gt; datapower externo</t>
  </si>
  <si>
    <t>REST
SOAP</t>
  </si>
  <si>
    <t>Almacena información de backend en cache obteniendo del WSTecnicos0006 para atributos de la tansaccion</t>
  </si>
  <si>
    <t xml:space="preserve">WSTecnicos0006 </t>
  </si>
  <si>
    <t>129K</t>
  </si>
  <si>
    <t>202ms</t>
  </si>
  <si>
    <t>Si puede ser probado por las app</t>
  </si>
  <si>
    <t>TRIBU CANALES
TRIBU MEDIOS DE PAGO
TRIBU PRODUCTOS
TRIBU SEGMENTOS Y NEGOCIOS DIGITALES</t>
  </si>
  <si>
    <t>APIM
sda-msa-bank-certificates;CertificateController
tdd-msa-card;CustomerAddressController
crd-msa-customer-integration;CustomerIntegrationController
tdd-msa-card;DebitCardRequestController
bmo-msa-core-account-client-name;ClientNameController
mht-msa-user-profile;ClientInformationController</t>
  </si>
  <si>
    <t>ConsultaInformacionBasicaCliente01</t>
  </si>
  <si>
    <t>https://app.icepanel.io/landscapes/w71QNHgfDvF79GrSuA3r/versions/latest/diagrams/editor?diagram=hhqQHHJSsg&amp;model=sgwrn80kg0j&amp;overlay_tab=tags&amp;x1=-301.6&amp;y1=-192&amp;x2=1697.6&amp;y2=832</t>
  </si>
  <si>
    <t>https://dev.azure.com/BancoPichinchaEC/adi-especificaciones-tecnicas/_git/adi-doc-tecspec-tribu-integracion-apis?version=GBmaster&amp;path=/sp%20-%20Soporte/tnd-msa-sp-orqclientes0002</t>
  </si>
  <si>
    <t>https://dev.azure.com/BancoPichinchaEC/tpl-bus-omnicanal/_git/sqb-msa-orqclientes0002</t>
  </si>
  <si>
    <t>PCBG-545</t>
  </si>
  <si>
    <t>ORQClientes0003</t>
  </si>
  <si>
    <t>Orquestador que permite realizar la consulta de la posición consolidada de clientes.</t>
  </si>
  <si>
    <t>WSClientes0024 --&gt; ConsultarIdentificacion01
WSProductos0024	--&gt; ConsultarDescripcionTodosProductos01
WSProductos0023 --&gt; ConsultarConfiguracionProducto01
WSClientes0114 --&gt; ConsultaCuentasCliente02
WSClientes0002 --&gt; consultarPrestamosActivos01
ays-msa-dm-wsclientes0220 --&gt; api/v1/Tarjetas/ConsultarTarjetas01
WSClientes0003 --&gt; ConsultarTarjetasActivas01 
WSProductos0123 --&gt; consultarCatalogoTarjeta02 
WSProductos0118 --&gt; consultarClienteInterdin02</t>
  </si>
  <si>
    <t>Bus Omnicanalidad
Was Omnicanalidad
openshift</t>
  </si>
  <si>
    <t>Mapeo hacia servicio de consulta de tarjetas de OPS</t>
  </si>
  <si>
    <t>Almacena archivos de parametros y catalogos en cache path: configuraciones/301000301.xml</t>
  </si>
  <si>
    <t>configuraciones/301000301.xml</t>
  </si>
  <si>
    <t>11.9M</t>
  </si>
  <si>
    <t>181ms</t>
  </si>
  <si>
    <t>TRIBU MEDIOS DE PAGO
TRIBU EMPRESAS
TRIBU PRODUCTOS
TRIBU CANALES
COE_TRANSFORMACION_PROCESOS</t>
  </si>
  <si>
    <t>APIM
tdd-msa-card;AccountClientController
omn-msa-account-balance;AccountController
inv-msa-investments;AccountsController
app-balance-by-type-account;AccountBalanceByTypeController
app-transaction-balance;TransactionBalanceController
bbe-msa-sp-account
sda-msa-payments;BillPaymentsController
omn-msa-account-balance;CreditCardController
tdd-msa-card;DebitCardRequestController
sge-msa-ux-insurance;HubController
sda-msa-payments;ListFavoritesController
one-msa-sp-customer-product
sda-msa-payments;ProductSummaryController
bbe-msa-bs-loan
bbe-msa-sp-credit-card
app-transaction-balance;TransactionBalanceController
omn-msa-account-balance;ProductSummaryController
sda-msa-payments;BillPaymentsController
sda-msa-payments;PaymentFavoritesController
sge-msa-insurance;InsuranceControllerImpl</t>
  </si>
  <si>
    <t>Default Web Site:443,8043 (/BPMPichinchaSG)
Default Web Site:80,8080 (/WApi_NetManager_CNB_MPagos)</t>
  </si>
  <si>
    <t>Interdin - Optar
Integrador</t>
  </si>
  <si>
    <t>ConsultarProductosActivos01</t>
  </si>
  <si>
    <t>https://s.icepanel.io/wJSECZOwwNkkW8/Rqyj</t>
  </si>
  <si>
    <t>https://dev.azure.com/BancoPichinchaEC/adi-especificaciones-tecnicas/_git/adi-doc-tecspec-tribu-integracion-apis?path=/sp%20-%20Soporte/tpr-msa-sp-orqclientes0003</t>
  </si>
  <si>
    <t>sqb-msa-orqclientes0003 - Repos</t>
  </si>
  <si>
    <t>https://pichincha.atlassian.net/browse/PCBG-654</t>
  </si>
  <si>
    <t>ORQClientes0004</t>
  </si>
  <si>
    <t>Microservicio que actualiza contacto transaccional</t>
  </si>
  <si>
    <t>WSClientes0020 -&gt; ActualizarContactoTransaccional31
WSClientes0024 -&gt; ConsultarIdentificacion01
WSClientes0028 -&gt; ConsultarClientePagosPichincha01, ActualizarClientePagosPichincha32
WSClientes0030 -&gt; ConsultarContactoNotificacion01
WSProductos0015 -&gt; ConsultarClientePichinchaCelular01, ActualizarClientePichinchaCelular32
WSSeguridad0020 -&gt; consultarAfiliado01, actualizarInformacion33, actualizarEstadoClienten34</t>
  </si>
  <si>
    <t>339ms</t>
  </si>
  <si>
    <t>Segun BDD:
00352 - Portal Empresarial_BPM</t>
  </si>
  <si>
    <t>ActualizarContactoTransaccional31</t>
  </si>
  <si>
    <t>https://app.icepanel.io/landscapes/w71QNHgfDvF79GrSuA3r/versions/latest/diagrams/editor?diagram=C7BopaQBkK&amp;model=IpbKqE7HWq&amp;overlay_tab=tags&amp;x1=0&amp;y1=0&amp;x2=1272&amp;y2=564</t>
  </si>
  <si>
    <t>https://dev.azure.com/BancoPichinchaEC/adi-especificaciones-tecnicas/_git/adi-doc-tecspec-tribu-integracion-apis?version=GBmaster&amp;path=/sp%20-%20Soporte/tnd-msa-sp-orqclientes0004</t>
  </si>
  <si>
    <t>https://dev.azure.com/BancoPichinchaEC/tpl-bus-omnicanal/_git/sqb-msa-orqclientes0004</t>
  </si>
  <si>
    <t>https://pichincha.atlassian.net/browse/PCBG-583</t>
  </si>
  <si>
    <t>ORQClientes0005</t>
  </si>
  <si>
    <t>Servicio que actualiza preferencia de notificación para segundo factor de autenticación (OTP, Clave Dinámica) en BDD</t>
  </si>
  <si>
    <t>WSClientes0024 --&gt; ConsultarIdentificacion01
WSClientes0006 --&gt; ConsultarInformacionBasica01
WSTecnicos0039 --&gt; actualizarNotificacionesPorCliente31
WSClientes0010 --&gt; consultarGrupoClaveDigital01
WSClientes0026 --&gt; consultar02
WSClientes0026 --&gt; registrar23
WSClientes0026 --&gt; incrementar34</t>
  </si>
  <si>
    <t>Si, existe cifrado mediante TCSProvider previo al llamado de servicios</t>
  </si>
  <si>
    <t>2.33k</t>
  </si>
  <si>
    <t>180ms</t>
  </si>
  <si>
    <t>Se consume operativamente desde el Administrador Omnicanal</t>
  </si>
  <si>
    <t>Administrador Omnicanal</t>
  </si>
  <si>
    <t>ActualizarMedioNotificacionCliente31</t>
  </si>
  <si>
    <t>Considerar que el servicio se utilizaba para validar factor de autenticación al inicio de la clave digital, se debe validar si su logica se sigue usando de lo contratio se debe deprecar</t>
  </si>
  <si>
    <t>https://s.icepanel.io/wJSECZOwwNkkW8/geiS</t>
  </si>
  <si>
    <t>https://dev.azure.com/BancoPichinchaEC/adi-especificaciones-tecnicas/_git/adi-doc-tecspec-tribu-integracion-apis?version=GBmaster&amp;path=/sp%20-%20Soporte/csg-msa-sp-orqclientes0005</t>
  </si>
  <si>
    <t>sqb-msa-orqclientes0005 - Repos</t>
  </si>
  <si>
    <t>https://pichincha.atlassian.net/browse/PCBG-584</t>
  </si>
  <si>
    <t>ORQClientes0007</t>
  </si>
  <si>
    <t>Servicio que actualiza cupo de cuentas del cliente</t>
  </si>
  <si>
    <t>WSClientes0114
WSProductos0009
CE_EVENTOS</t>
  </si>
  <si>
    <t>Parcialmente. path: configuraciones/000000001.xml</t>
  </si>
  <si>
    <t>configuraciones/000000001.xml</t>
  </si>
  <si>
    <t>5.54K</t>
  </si>
  <si>
    <t>188ms</t>
  </si>
  <si>
    <t>Puede ser consumido por apps.</t>
  </si>
  <si>
    <t>TRIBU_CANALES</t>
  </si>
  <si>
    <t>ORQTecnicos0003 (Invoca servicios asyncronos)</t>
  </si>
  <si>
    <t>Segun BDD 00663 -&gt;  Banca Movil
00647 -&gt; Banca Web</t>
  </si>
  <si>
    <t>ActualizarCupoCuentaTransaccion31</t>
  </si>
  <si>
    <t>Interactua con el MQ , lee mensaje</t>
  </si>
  <si>
    <t>https://s.icepanel.io/wJSECZOwwNkkW8/PkZD</t>
  </si>
  <si>
    <t>https://dev.azure.com/BancoPichinchaEC/adi-especificaciones-tecnicas/_git/adi-doc-tecspec-tribu-integracion-apis?path=/sp%20-%20Soporte/tpr-msa-sp-orqclientes0007</t>
  </si>
  <si>
    <t>https://dev.azure.com/BancoPichinchaEC/tpl-bus-omnicanal/_git/sqb-msa-orqclientes0007?path=/com/bpichincha/esb/orqclientes0007/ActualizarCupoCuentaTransaccion31.esql</t>
  </si>
  <si>
    <t>https://pichincha.atlassian.net/browse/PCBG-585</t>
  </si>
  <si>
    <t>ORQClientes0008</t>
  </si>
  <si>
    <t>Consultar detalle del cliente</t>
  </si>
  <si>
    <t>WSClientes0024 -&gt; ConsultarIdentificacion01
WSClientes0037 -&gt; ConsultarClienteRegistroCivil01
WSClientes0038 -&gt; ConsultarDetalleAdicionalesCliente01 / opc 5 / 21 / 1 /
WSTecnicos0063 -&gt; obtenerCatalogosSigloBancs01</t>
  </si>
  <si>
    <t>REST - datapowerexterno
SOAP</t>
  </si>
  <si>
    <t>Nacionalidades. Consumido de WSTecnicos0063</t>
  </si>
  <si>
    <t>WSTecnicos0063</t>
  </si>
  <si>
    <t>9.96K</t>
  </si>
  <si>
    <t>310ms</t>
  </si>
  <si>
    <t>https://serviciosexternos.pichincha.com:8445/BPMicrofinanzasProd/Servicios/Rest/FlexibleUpdateWorkOrder</t>
  </si>
  <si>
    <t>Segun BDD: Microfinanzas - 00650</t>
  </si>
  <si>
    <t>ninguno</t>
  </si>
  <si>
    <t>ConsultarDetalleCliente01</t>
  </si>
  <si>
    <t>https://s.icepanel.io/wJSECZOwwNkkW8/s2K8</t>
  </si>
  <si>
    <t>https://dev.azure.com/BancoPichinchaEC/adi-especificaciones-tecnicas/_git/adi-doc-tecspec-tribu-integracion-apis?path=/sp%20-%20Soporte/tnd-msa-sp-orqclientes0008</t>
  </si>
  <si>
    <t>https://dev.azure.com/BancoPichinchaEC/tpl-bus-omnicanal/_git/sqb-msa-orqclientes0008</t>
  </si>
  <si>
    <t>https://pichincha.atlassian.net/browse/PCBG-586</t>
  </si>
  <si>
    <t>ORQClientes0016</t>
  </si>
  <si>
    <t>Orquestar las consultas para obtener la informacion complementaria del cliente</t>
  </si>
  <si>
    <t>ORQClientes0016
	WSClientes0060 (informacionAdicionalClienteSFI01 - WAS) -&gt; UMPClientes0075 (OperacionInformacionComplementariaCliente51) -&gt; UMPClientes0075 (ObtenerInformacionAdicionalClienteSFI) -&gt; BDD: CREDIFE, SP: CFE_INFCOMPL_MVL(?,?)
	WSClientes0060 (OperacionDatosComplementariosCliente51 - IIB) -&gt; UMPClientes0075 (OperacionInformacionComplementariaCliente51) -&gt; TX067145 (Consultar informacion complentaria del cliente)
	WSClientes0038 (OperacionEconomicosCliente52) -&gt; UMPClientes0020	(ConsultaInformacionCliente01) -&gt; TX067050 (opc 1, 5, 15, 21)
												-&gt;	UMPClientes0061	(ActualizarInfAdicionalCliente31) -&gt; TX067118
												-&gt;	UMPClientes0057	(ActualizarInformacionCliente31) -&gt; TX067116
	WSClientes0055 (OperacionActividadEconomicaCliente51) -&gt; UMPClientes0069 (Consulta actividad economica) -&gt; TX67196
														-&gt;	UMPClientes0066 (Consulta Correspondencia (localizacion)) -&gt; TX062120
	WSClientes0061 (OperacionDemograficosCliente51) -&gt; UMPClientes0077 (OperacionDemograficosCliente51) -&gt; TX061406
	WSClientes0062 (OperacionIdentificacionCliente51) - UMPClientes0078 (OperacionIdentificacionCliente51 )-&gt; TX067153 -&gt; Consulta información de identificación del cliente
	WSClientes0099 (OperacionLocalizacion51) 	-&gt; UMPClientes0064 - OperacionLocalizacion51 -  TX061404  - Consulta la direccion de un cliente
												-&gt; UMPClientes0065 - OperacionGeolocalizacion51 - TX062130 - Consulta la geolocalizacion de un cliente
	WSClientes0007 (ConsultarContactoTransaccional01) -&gt; UMPClientes0002 -&gt; ConsultarInformacionBasica01 -&gt; TX060480 -&gt; Consulta el CIF del cliente
													UMPClientes0028 -&gt; ConsultarIdentificacion01 -&gt; http://10.151.8.62:8934/Omnicanalidad/AplicationServer/WSClientes0045 -&gt; Consulta identificacion cliente
													UMPClientes0020 -&gt; ConsultaInformacionCliente01  -&gt; 067050 -&gt; Consulta información basica del cliente
													UMPClientes0003 -&gt; ConsultarContactoNotificacion01 -&gt; TX067186 -&gt; Consulta contacto transaccional del cliente
													UMPClientes0005 -&gt; ActualizarContactoTransaccional31 -&gt; TX067186 -&gt; Actualizar el contacto transaccional del cliente 
	WSTecnicos0063 (obtenerCatalogosSigloBancs01) -&gt; umptecnicos0066 (obtenerCatalogosSigloBean) -&gt; Consulta de catalogos a BANCS , CREDIFE y S21</t>
  </si>
  <si>
    <t>Almacena información de backend en cache, consumiendo WSTecnicos0063</t>
  </si>
  <si>
    <t>4.58K</t>
  </si>
  <si>
    <t>529ms</t>
  </si>
  <si>
    <t>Segun BDD: 00650 - Microfinanzas</t>
  </si>
  <si>
    <t>-</t>
  </si>
  <si>
    <t>InformacionComplementariaCliente01</t>
  </si>
  <si>
    <t>https://app.icepanel.io/landscapes/w71QNHgfDvF79GrSuA3r/versions/latest/diagrams/editor?diagram=uV2Jon7cnA&amp;model=TBYWzEmBgJ&amp;overlay_tab=tags&amp;x1=-301.6&amp;y1=-192&amp;x2=1697.6&amp;y2=832</t>
  </si>
  <si>
    <t>https://dev.azure.com/BancoPichinchaEC/adi-especificaciones-tecnicas/_git/adi-doc-tecspec-tribu-integracion-apis?path=/sp%20-%20Soporte/tnd-msa-sp-orqclientes0016</t>
  </si>
  <si>
    <t>https://dev.azure.com/BancoPichinchaEC/tpl-bus-omnicanal/_git/sqb-msa-orqclientes0016</t>
  </si>
  <si>
    <t>https://pichincha.atlassian.net/browse/PCBG-587</t>
  </si>
  <si>
    <t>ORQClientes0017</t>
  </si>
  <si>
    <t>Consultar Productos del Cliente</t>
  </si>
  <si>
    <t>WSClientes0002
WSClientes0038
WSClientes0067
WSClientes0080
WSProductos0082
WSSeguridad0029
WSTecnicos0063</t>
  </si>
  <si>
    <t>13.64K</t>
  </si>
  <si>
    <t>317ms</t>
  </si>
  <si>
    <t>ConsultarProductosClientes01</t>
  </si>
  <si>
    <t>https://s.icepanel.io/wJSECZOwwNkkW8/zJIi</t>
  </si>
  <si>
    <t>https://dev.azure.com/BancoPichinchaEC/adi-especificaciones-tecnicas/_git/adi-doc-tecspec-tribu-integracion-apis?path=/sp%20-%20Soporte/tpr-msa-sp-orqclientes0017</t>
  </si>
  <si>
    <t>https://dev.azure.com/BancoPichinchaEC/tpl-bus-omnicanal/_git/sqb-msa-orqclientes0017</t>
  </si>
  <si>
    <t>https://pichincha.atlassian.net/browse/PCBG-588</t>
  </si>
  <si>
    <t>ORQClientes0019</t>
  </si>
  <si>
    <t>Consultar Datos Economicos Cliente</t>
  </si>
  <si>
    <t>WSClientes0024 -&gt; ConsultarIdentificacion01
WSClientes0038 -&gt; OperacionEconomicosCliente52
WSClientes0071 -&gt; AsignarInformacionBienes01
WSClientes0072 -&gt; ActualizarDatosReferencias31
WSClientes0074 -&gt; ActualizarDatosActividadEconomica31</t>
  </si>
  <si>
    <t>8511 - SOAP</t>
  </si>
  <si>
    <t>418ms</t>
  </si>
  <si>
    <t>COE_TRANSFORMACION_PROCESOS</t>
  </si>
  <si>
    <t>Default Web Site:443,8043 (/BPMPichincha)
Default Web Site:443,8043 (/BPMPichinchaCH)
Default Web Site:443,8043 (/BPMPichinchaCP)</t>
  </si>
  <si>
    <t>ConsultarDatosEconomicosCliente01</t>
  </si>
  <si>
    <t>https://app.icepanel.io/landscapes/w71QNHgfDvF79GrSuA3r/versions/latest/diagrams/editor?diagram=qXCLgnJ6TO&amp;model=z8l3of38d7&amp;overlay_tab=tags&amp;x1=-642.7&amp;y1=-192&amp;x2=1666.7&amp;y2=832</t>
  </si>
  <si>
    <t>https://dev.azure.com/BancoPichinchaEC/adi-especificaciones-tecnicas/_git/adi-doc-tecspec-tribu-integracion-apis?path=/sp%20-%20Soporte/tnd-msa-sp-orqclientes0019</t>
  </si>
  <si>
    <t>https://dev.azure.com/BancoPichinchaEC/tpl-bus-omnicanal/_git/sqb-msa-orqclientes0019</t>
  </si>
  <si>
    <t>https://pichincha.atlassian.net/browse/PCBG-589</t>
  </si>
  <si>
    <t>ORQClientes0022</t>
  </si>
  <si>
    <t>Consulta información de cliente con agencia virtual</t>
  </si>
  <si>
    <t>WSClientes0046 --&gt; ConsultarClienteVirtual01</t>
  </si>
  <si>
    <t>49.4k</t>
  </si>
  <si>
    <t>163ms</t>
  </si>
  <si>
    <t>APIGee - cia-api-sp-ape-virtual-customers</t>
  </si>
  <si>
    <t>ConsultarInformacionClienteVirtual01</t>
  </si>
  <si>
    <t>https://s.icepanel.io/wJSECZOwwNkkW8/oy6e</t>
  </si>
  <si>
    <t>https://dev.azure.com/BancoPichinchaEC/adi-especificaciones-tecnicas/_git/adi-doc-tecspec-tribu-integracion-apis?path=/sp%20-%20Soporte/tnd-msa-sp-orqclientes0022</t>
  </si>
  <si>
    <t>sqb-msa-orqclientes0022 - Repos</t>
  </si>
  <si>
    <t>https://pichincha.atlassian.net/browse/PCBG-590</t>
  </si>
  <si>
    <t>ORQClientes0023</t>
  </si>
  <si>
    <t>Consultar Creditos y Garantia</t>
  </si>
  <si>
    <t>WSClientes0024
WSClientes0078
WSClientes0090
WSClientes0091</t>
  </si>
  <si>
    <t>375ms</t>
  </si>
  <si>
    <t>Default Web Site:443,8043 (/BPMPichincha)
Default Web Site:443,8043 (/BPMPichinchaCH)
Default Web Site:443,8043 (/BPMPichinchaCP)
Default Web Site:443,8043 (/BPMPichinchaAS)</t>
  </si>
  <si>
    <t>ConsultarCreditosGarantia</t>
  </si>
  <si>
    <t>Considerar que consume el WSClientes0090 que no estuvo contemplado en la ola 1</t>
  </si>
  <si>
    <t>https://s.icepanel.io/wJSECZOwwNkkW8/CUjN</t>
  </si>
  <si>
    <t>https://dev.azure.com/BancoPichinchaEC/adi-especificaciones-tecnicas/_git/adi-doc-tecspec-tribu-integracion-apis?version=GBmaster&amp;path=/sp%20-%20Soporte/tpr-msa-sp-orqclientes0023</t>
  </si>
  <si>
    <t>https://dev.azure.com/BancoPichinchaEC/tpl-bus-omnicanal/_git/sqb-msa-orqclientes0023</t>
  </si>
  <si>
    <t>https://pichincha.atlassian.net/browse/PCBG-591</t>
  </si>
  <si>
    <t>ORQClientes0024</t>
  </si>
  <si>
    <t>Consultar Cuentas e Inversiones del Cliente</t>
  </si>
  <si>
    <t>WSClientes0075 -&gt; ConsultarSaldosCuenta01
WSClientes0081 -&gt; ConsultarCuentasFirmaAutorizada01
WSClientes0082 -&gt; ConsultarCuentasTipoEstado01
WSProductos0016 -&gt; ConsultarCotitularesCuenta02</t>
  </si>
  <si>
    <t>8937 - REST
8511 - SOAP</t>
  </si>
  <si>
    <t>10.26K</t>
  </si>
  <si>
    <t>227ms</t>
  </si>
  <si>
    <t>Default Web Site:443,8043 (/BPMPichincha)
Default Web Site:443,8043 (/BPMPichinchaCH)
Default Web Site:443,8043 (/BPMPichinchaCP)
Segun BDD: Bizagi: 00657</t>
  </si>
  <si>
    <t>ConsultarCuentasInversionesCliente01</t>
  </si>
  <si>
    <t>https://s.icepanel.io/wJSECZOwwNkkW8/kzAK</t>
  </si>
  <si>
    <t>https://dev.azure.com/BancoPichinchaEC/adi-especificaciones-tecnicas/_git/adi-doc-tecspec-tribu-integracion-apis?path=/sp%20-%20Soporte/tpr-msa-sp-orqclientes0024</t>
  </si>
  <si>
    <t>https://dev.azure.com/BancoPichinchaEC/tpl-bus-omnicanal/_git/sqb-msa-orqclientes0024</t>
  </si>
  <si>
    <t>https://pichincha.atlassian.net/browse/PCBG-592</t>
  </si>
  <si>
    <t>ORQClientes0025</t>
  </si>
  <si>
    <t>Consultar Cheques Protestados del Cliente</t>
  </si>
  <si>
    <t>ORQClientes0025
	WSClientes0001 (ConsultarCuentasActivas01) -&gt; UMPProductos0049 (ConsultarPosicionConsolidadaCliente01) -&gt; TX060450
											UMPProductos0001 (ConsultarCuentas01) -&gt; TX060453 / 060452
											UMPProductos0066 (ConsultarFirmaUnicaIndependiente01) -&gt; TX064014
	WSClientes0082 (ConsultarCuentasTipoEstado01) -&gt; UMPProductos0021 (ConsultarCuentas21) -&gt; Consulta de Cuentas del cliente en Bancs
		TX060453 -&gt;
		TX060452 -&gt; TX de consulta cuentas en Bancs
	WSClientes0025 (ConsultarInformacionChequeProtestado01) -&gt; UMPClientes0010 (ConsultarInformacionChequeProtestado01)-&gt; TX051059</t>
  </si>
  <si>
    <t>13.3K</t>
  </si>
  <si>
    <t>530 ms</t>
  </si>
  <si>
    <t>COE_TRANSFORMACION_PROCESOS
TRIBU ADMINISTRACION DE CREDITO</t>
  </si>
  <si>
    <t>deployment-fda-msa-dm-orqclientes*-*; ORQClientes0067.API</t>
  </si>
  <si>
    <t>ConsultarChequesProtestadosCliente01</t>
  </si>
  <si>
    <t>https://app.icepanel.io/landscapes/w71QNHgfDvF79GrSuA3r/versions/latest/diagrams/editor?diagram=5SlzCdmf2o&amp;model=052757cjuefp&amp;overlay_tab=tags&amp;x1=-301.6&amp;y1=-192&amp;x2=1697.6&amp;y2=832</t>
  </si>
  <si>
    <t>https://dev.azure.com/BancoPichinchaEC/adi-especificaciones-tecnicas/_git/adi-doc-tecspec-tribu-integracion-apis?path=/sp%20-%20Soporte/tpr-msa-sp-orqclientes0025</t>
  </si>
  <si>
    <t>https://dev.azure.com/BancoPichinchaEC/tpl-bus-omnicanal/_git/sqb-msa-orqclientes0025</t>
  </si>
  <si>
    <t>https://pichincha.atlassian.net/browse/PCBG-593</t>
  </si>
  <si>
    <t>ORQClientes0026</t>
  </si>
  <si>
    <t>Consulta de Creditos, Debitos y Cuentas Activas del Cliente</t>
  </si>
  <si>
    <t>WSClientes0082
WSProductos0130</t>
  </si>
  <si>
    <t>SOAP
8511 - SOAP</t>
  </si>
  <si>
    <t>559ms</t>
  </si>
  <si>
    <t>ConsultaCreditosDebitosCuentasActivasCliente01</t>
  </si>
  <si>
    <t>https://s.icepanel.io/wJSECZOwwNkkW8/r3I4</t>
  </si>
  <si>
    <t>https://dev.azure.com/BancoPichinchaEC/adi-especificaciones-tecnicas/_git/adi-doc-tecspec-tribu-integracion-apis?path=/sp%20-%20Soporte/tpr-msa-sp-orqclientes0026</t>
  </si>
  <si>
    <t>https://dev.azure.com/BancoPichinchaEC/tpl-bus-omnicanal/_git/sqb-msa-orqclientes0026</t>
  </si>
  <si>
    <t>https://pichincha.atlassian.net/browse/PCBG-594</t>
  </si>
  <si>
    <t>ORQClientes0027</t>
  </si>
  <si>
    <t>Consulta tarjetas de Credito BP</t>
  </si>
  <si>
    <t>WSClientes0023 -&gt; ConsultarTarjetasCreditoBP01
WSClientes0076 -&gt; ConsultarDiasMoraTarjeta01</t>
  </si>
  <si>
    <t>99.3ms</t>
  </si>
  <si>
    <t>ConsultarTarjetasCreditoBP01</t>
  </si>
  <si>
    <t>https://app.icepanel.io/landscapes/w71QNHgfDvF79GrSuA3r/versions/latest/diagrams/editor?diagram=xs1LYUUDwU&amp;model=g103dyijmna&amp;overlay_tab=tags&amp;x1=-642.7&amp;y1=-192&amp;x2=1666.7&amp;y2=832</t>
  </si>
  <si>
    <t>https://dev.azure.com/BancoPichinchaEC/adi-especificaciones-tecnicas/_git/adi-doc-tecspec-tribu-integracion-apis?version=GBmaster&amp;path=/sp%20-%20Soporte/tmp-msa-sp-orqclientes0027</t>
  </si>
  <si>
    <t>https://dev.azure.com/BancoPichinchaEC/tpl-bus-omnicanal/_git/sqb-msa-orqclientes0027</t>
  </si>
  <si>
    <t>https://pichincha.atlassian.net/browse/PCBG-595</t>
  </si>
  <si>
    <t>ORQClientes0028</t>
  </si>
  <si>
    <t>Cancelar Actualizacion de Datos Delay</t>
  </si>
  <si>
    <t>WSTecnicos0035
WSTecnicos0036
CE_EVENTOS</t>
  </si>
  <si>
    <t>Was Omnicanalidad</t>
  </si>
  <si>
    <t>Rest desde datapower externo
Soap - propio del servicio</t>
  </si>
  <si>
    <t>68ms</t>
  </si>
  <si>
    <t>COE_TRANSFORMACION_PROCESOS
TRIBU SEGMENTOS Y NEGOCIOS DIGITALES</t>
  </si>
  <si>
    <t>datapower externo - WSAP117401007</t>
  </si>
  <si>
    <t>Bizagi
Segun BDD:
00344 - CRM Gestión Comercial (Salesforce)</t>
  </si>
  <si>
    <t>CancelarActualizacionDatosDelay31</t>
  </si>
  <si>
    <t>RITM0738122 / RITM0745618</t>
  </si>
  <si>
    <t>https://s.icepanel.io/wJSECZOwwNkkW8/sDBV</t>
  </si>
  <si>
    <t>https://dev.azure.com/BancoPichinchaEC/adi-especificaciones-tecnicas/_git/adi-doc-tecspec-tribu-integracion-apis?version=GBmaster&amp;path=/sp%20-%20Soporte/tnd-msa-sp-orqclientes0028</t>
  </si>
  <si>
    <t>https://dev.azure.com/BancoPichinchaEC/tpl-bus-omnicanal/_git/sqb-msa-orqclientes0028</t>
  </si>
  <si>
    <t>https://pichincha.atlassian.net/browse/PCBG-596</t>
  </si>
  <si>
    <t>ORQClientes0029</t>
  </si>
  <si>
    <t>Consulta datos basicos del Cliente</t>
  </si>
  <si>
    <t>WSClientes0024 → ConsultarIdentificacion01 (destino: IIB)
WSClientes0077 → ConsultarDatoBasicoCliente01 (destino: IIB)
WSClientes0078 → consultarClienteSAR01 (destino: IIB)
WSClientes0011 → ConsultarDatosIdentificacionCliente01 (destino: IIB)
WSClientes0012 → ConsultarDatoDemograficoCliente01 (destino: IIB)
WSClientes0013 → ConsultarDatosLocalizacionCliente01 (destino: IIB)
WSClientes0007 → ConsultarContactoTransaccional01 (destino: IIB)</t>
  </si>
  <si>
    <t>NO</t>
  </si>
  <si>
    <t>890ms</t>
  </si>
  <si>
    <t>ConsultarDatosCliente01</t>
  </si>
  <si>
    <t>https://s.icepanel.io/wJSECZOwwNkkW8/sZlg</t>
  </si>
  <si>
    <t>https://dev.azure.com/BancoPichinchaEC/adi-especificaciones-tecnicas/_git/adi-doc-tecspec-tribu-integracion-apis?version=GBmaster&amp;path=/sp%20-%20Soporte/tnd-msa-sp-orqclientes0029</t>
  </si>
  <si>
    <t>https://dev.azure.com/BancoPichinchaEC/tpl-bus-omnicanal/_git/sqb-msa-orqclientes0029</t>
  </si>
  <si>
    <t>https://pichincha.atlassian.net/browse/PCBG-597</t>
  </si>
  <si>
    <t>ORQClientes0035</t>
  </si>
  <si>
    <t xml:space="preserve"> Orquestar los web service para creacion del cliente </t>
  </si>
  <si>
    <t>WSClientes0024 -&lt; ConsultarIdentificacion01
WSClientes0038 -&gt; OperacionEconomicosCliente52
WSClientes0055 -&gt; OperacionActividadEconomicaCliente51
WSClientes0060 -&gt; OperacionDatosComplementariosCliente51 (opc1/ops2/opc3)
WSClientes0061-&gt; OperacionDemograficosCliente51
WSClientes0062 -&gt; OperacionIdentificacionCliente51
WSClientes0063 -&gt; OperacionReferenciasCliente51
WSClientes0096 -&gt; CrearProspecto21
WSClientes0098 -&gt; transmisionClienteSFI01
WSClientes0099 -&gt; OperacionLocalizacion51
WSClientes0101 -&gt; OperacionRelacionesCliente51
WSClientes0102 -&gt; SegmentacionEntradaFija01
WSTecnicos0076 -&gt; crearLogModificaciones21
WSTecnicos0063 -&gt; obtenerCatalogosSigloBancs01</t>
  </si>
  <si>
    <t>Catalogo de sector economico, consume WSTecnicos0063</t>
  </si>
  <si>
    <t>2.26s</t>
  </si>
  <si>
    <t>TRIBU CANALES
TRIBU PRODUCTOS
AREA MICROFINANZAS</t>
  </si>
  <si>
    <t>Servicios_Consumidos_Vinculacion_Integral
Segun BDD: 00650 - Microfinanzas Movilidad app movil 
00662 - Referidos</t>
  </si>
  <si>
    <t>CreacionCliente21</t>
  </si>
  <si>
    <t>https://s.icepanel.io/wJSECZOwwNkkW8/NQF9</t>
  </si>
  <si>
    <t>https://dev.azure.com/BancoPichinchaEC/adi-especificaciones-tecnicas/_git/adi-doc-tecspec-tribu-integracion-apis?version=GBmaster&amp;path=/sp%20-%20Soporte/tnd-msa-sp-orqclientes0035</t>
  </si>
  <si>
    <t>https://dev.azure.com/BancoPichinchaEC/tpl-bus-omnicanal/_git/sqb-msa-orqclientes0035</t>
  </si>
  <si>
    <t>https://pichincha.atlassian.net/browse/PCBG-598</t>
  </si>
  <si>
    <t>ORQClientes0036</t>
  </si>
  <si>
    <t>Consumir la WS para actualizacion del cliente</t>
  </si>
  <si>
    <t xml:space="preserve">ORQClientes0036 
	WSClientes0061 (OperacionDemograficosCliente51) -&gt; UMPClientes0077 (OperacionDemograficosCliente51) -&gt; TX061406
	WSClientes0103 (ActualizarInformacionCliente31) -&gt; umpclientes0102 (Actualizacion del cliente en bancs) -&gt; TX067510 (Procedimiento que realiza la operacion de actualizacion del cliente)
	WSClientes0098 (transmisionClienteSFI01) -&gt; UMPClientes0100 (TransmisionClienteSFI) -&gt;
		BDD: CREDIFE, SP: CFE_TRANSMISIONCLIENTESS1_MVL
	WSTecnicos0063 (obtenerCatalogosSigloBancs01) -&gt; umptecnicos0066 (Consulta de catalogos a BANCS , CREDIFE y S21) -&gt;
			 jndi.sfi p11431BDD CREDIFE, 
			 jndi.catalogo.bancs p1521 BDD p012band_taf, 
			 jndi.catalogo.sigloBDD SRVPPRD
	WSClientes0038 (ConsultarDetalleAdicionalesCliente01) -&gt; UMPClientes0020 (ConsultaInformacionCliente01) -&gt; TX067050 (opc 1, 5, 15, 21)
		UMPClientes0061	(ActualizarInfAdicionalCliente31) -&gt; TX067118
		UMPClientes0057	(ActualizarInformacionCliente31) -&gt; TX067116
	WSClientes0101 (OperacionRelacionesCliente51) -&gt; UMPClientes0076 (OperacionInformacionComplementariaRelaciones51) -&gt; TX067151 (Consultar informacion complementaria de referencia del cliente)
	WSTecnicos0076 (crearLogModificaciones21) -&gt; umptecnicos0098 (CrearLogModificacionesDao) -&gt; Esquema: portal -&gt; jndi.bancs.clientes </t>
  </si>
  <si>
    <t>Almacena información de backend en cache, consume WSTecnicos0063</t>
  </si>
  <si>
    <t>2.84K</t>
  </si>
  <si>
    <t>1.34s</t>
  </si>
  <si>
    <t>AREA MICROFINANZAS
TRIBU CANALES</t>
  </si>
  <si>
    <t>Servicios_Consumidos_Vinculacion_Integral
Segun BDD: 
00650 - Microfinanzas Movilidad app movil 
00662 - Referidos</t>
  </si>
  <si>
    <t>ActualizacionCliente31</t>
  </si>
  <si>
    <t>https://app.icepanel.io/landscapes/w71QNHgfDvF79GrSuA3r/versions/latest/diagrams/editor?diagram=0xsCJ6T9F7&amp;model=9JNMa0g1gL&amp;overlay_tab=tags&amp;x1=-301.6&amp;y1=-192&amp;x2=1697.6&amp;y2=832</t>
  </si>
  <si>
    <t>https://dev.azure.com/BancoPichinchaEC/adi-especificaciones-tecnicas/_git/adi-doc-tecspec-tribu-integracion-apis?version=GBmaster&amp;path=/sp%20-%20Soporte/tnd-msa-sp-orqclientes0036</t>
  </si>
  <si>
    <t>https://dev.azure.com/BancoPichinchaEC/tpl-bus-omnicanal/_git/sqb-msa-orqclientes0036</t>
  </si>
  <si>
    <t>https://pichincha.atlassian.net/browse/PCBG-599</t>
  </si>
  <si>
    <t>ORQClientes0037</t>
  </si>
  <si>
    <t>Consulta las preferencias de notificaciones de un cliente cuando crea el usuario por banca web.</t>
  </si>
  <si>
    <t>WSClientes0006(ConsultarInformacionBasica01)
WSClientes0007(ConsultarContactoTransaccional0)
WSClientes0010(consultarGrupoClaveDigital01)
WSClientes0024(ConsultarIdentificacion01)
WSClientes0026(consultar02) → srvppomnica
WSClientes0030(ConsultarContactoNotificacion01)
WSTecnicos0039(consultarNotificacion01) → srvppomnica
WSSeguridad0067(consultarDispositivosDetectId01)
CE_EVENTOS</t>
  </si>
  <si>
    <t>BUS OMNICANAL
WAS OMNICANAL</t>
  </si>
  <si>
    <t>No aplica</t>
  </si>
  <si>
    <t>3.03k</t>
  </si>
  <si>
    <t>373 ms</t>
  </si>
  <si>
    <t>CANALES</t>
  </si>
  <si>
    <t>NO aplica</t>
  </si>
  <si>
    <t>ConsultarPreferenciaNotificacionCliente01</t>
  </si>
  <si>
    <t>ORQClientes0037 Component Diagram | Banco Pichincha C.A. landscape | IcePanel App</t>
  </si>
  <si>
    <t>https://dev.azure.com/BancoPichinchaEC/adi-especificaciones-tecnicas/_git/adi-doc-tecspec-tribu-integracion-apis?version=GBmaster&amp;path=/sp%20-%20Soporte/tnd-msa-sp-orqclientes0037</t>
  </si>
  <si>
    <t>https://BancoPichinchaEC@dev.azure.com/BancoPichinchaEC/tpl-bus-omnicanal/_git/sqb-msa-orqclientes0037</t>
  </si>
  <si>
    <t>https://pichincha.atlassian.net/browse/PCBG-600</t>
  </si>
  <si>
    <t>ORQClientes0038</t>
  </si>
  <si>
    <t>Servicio para crear y actualizar cliente PRY_CENTRO_DIGITAL</t>
  </si>
  <si>
    <t>WSClientes0104 -&gt; crearProspectoCliente21 -&gt; TX062001
WSClientes0108 -&gt; crearCliente24
WSClientes0029 -&gt; ActualizarDatosDemograficos31
WSClientes0060 -&gt; OperacionDatosComplementariosCliente51
WSClientes0101 -&gt; OperacionRelacionesCliente51
WSClientes0099 -&gt; OperacionLocalizacion51
WSClientes0072 -&gt; ActualizarDatosReferencias31
WSClientes0020 -&gt; ActualizarContactoTransaccional31
WSClientes0038 -&gt; OperacionEconomicosCliente53
WSClientes0055 -&gt; OperacionActividadEconomicaCliente52
WSClientes0154 -&gt; consultarOficialHomologado01
WSTecnicos0076 -&gt; crearLogModificaciones21</t>
  </si>
  <si>
    <t>SOAP - 8934</t>
  </si>
  <si>
    <t>3.02K</t>
  </si>
  <si>
    <t>1.87s</t>
  </si>
  <si>
    <t>WSClientes0020
WSClientes0029
WSClientes0038
WSClientes0055
WSClientes0060
WSClientes0072
WSClientes0099
WSClientes0101
WSClientes0104
WSClientes0108
WSClientes0154Service.WSClientes0154Port	
WSTecnicos0076Request.WSTecnicos0076Port</t>
  </si>
  <si>
    <t>CrearCliente0038</t>
  </si>
  <si>
    <t>https://s.icepanel.io/wJSECZOwwNkkW8/EbyE</t>
  </si>
  <si>
    <t>https://dev.azure.com/BancoPichinchaEC/adi-especificaciones-tecnicas/_git/adi-doc-tecspec-tribu-integracion-apis?version=GBmaster&amp;path=/sp%20-%20Soporte/tnd-msa-sp-orqclientes0038</t>
  </si>
  <si>
    <t>https://dev.azure.com/BancoPichinchaEC/tpl-bus-omnicanal/_git/sqb-msa-orqclientes0038</t>
  </si>
  <si>
    <t>https://pichincha.atlassian.net/browse/PCBG-601</t>
  </si>
  <si>
    <t>ORQClientes0040</t>
  </si>
  <si>
    <t>Orquestar las consultas para obtener el PDF de Auto Certificacion de Residencias Fiscales</t>
  </si>
  <si>
    <t>WSTecnicos0070 --&gt; ConsultarLogsCertificacion03
WSClientes0111 --&gt; ConsultarResidenciaFiscal01
WSTecnicos0063 --&gt; obtenerCatalogosSigloBancs01
WSTecnicos0077 --&gt; generarAutocertificacion51
WSClientes0007 --&gt; ConsultarContactoTransaccional01
WSTecnicos0078 --&gt; EnvioNotificacionAdjunto52</t>
  </si>
  <si>
    <t>430ms</t>
  </si>
  <si>
    <t>ORQClientes0045</t>
  </si>
  <si>
    <t>Segun BDD:
00670: Aplicativo Billetera Movil Pichincha
00352 -&gt; Portal Empresarial BPM
00662 -&gt; Referidos</t>
  </si>
  <si>
    <t>ConsultarInformacionCertificacion01</t>
  </si>
  <si>
    <t>https://s.icepanel.io/wJSECZOwwNkkW8/eDfb</t>
  </si>
  <si>
    <t>https://dev.azure.com/BancoPichinchaEC/adi-especificaciones-tecnicas/_git/adi-doc-tecspec-tribu-integracion-apis?version=GBmaster&amp;path=/sp%20-%20Soporte/tnd-msa-sp-orqclientes0040</t>
  </si>
  <si>
    <t>sqb-msa-orqclientes0040 - Repos</t>
  </si>
  <si>
    <t>https://pichincha.atlassian.net/browse/PCBG-602</t>
  </si>
  <si>
    <t>Registrar residencia fiscal</t>
  </si>
  <si>
    <t>ORQClientes0040 -&gt; ConsultarInformacionCertificacion01
WSClientes0111 -&gt; CrearResidenciaFiscal23
WSTecnicos0078 -&gt; EnvioNotificacionAdjunto52
WSTecnicos0070 -&gt; CrearLogsCertificacion22 / ConsultarLogsCertificacion03
WSTecnicos0027 -&gt; EvaluarOTP54</t>
  </si>
  <si>
    <t>Transforma a json
encripta</t>
  </si>
  <si>
    <t>6.02K</t>
  </si>
  <si>
    <t>1.4s</t>
  </si>
  <si>
    <t>Segun BDD: 00670 - Aplicativo Billetera Movil Pichincha</t>
  </si>
  <si>
    <t>registrarResidenciaFiscal01</t>
  </si>
  <si>
    <t>https://s.icepanel.io/wJSECZOwwNkkW8/r3cl</t>
  </si>
  <si>
    <t>https://dev.azure.com/BancoPichinchaEC/adi-especificaciones-tecnicas/_git/adi-doc-tecspec-tribu-integracion-apis?version=GBmaster&amp;path=/sp%20-%20Soporte/tnd-msa-sp-orqclientes0045</t>
  </si>
  <si>
    <t>https://dev.azure.com/BancoPichinchaEC/tpl-bus-omnicanal/_git/sqb-msa-orqclientes0045</t>
  </si>
  <si>
    <t>https://pichincha.atlassian.net/browse/PCBG-603</t>
  </si>
  <si>
    <t>ORQClientes0048</t>
  </si>
  <si>
    <t>Servicio de actualizar los modulos del cliente PRY_CENTRO_DIGITAL</t>
  </si>
  <si>
    <t>WSClientes0007 -&gt; ConsultarContactoTransaccional01
WSClientes0020 -&gt; ActualizarContactoTransaccional31
WSClientes0024 -&gt; ConsultarIdentificacion01
WSClientes0027 -&gt; ProcesarDatosIdentificacionCliente51_ProcesarWS
WSClientes0038 -&gt; OperacionEconomicosCliente52
WSClientes0055 -&gt; OperacionActividadEconomicaCliente52
WSClientes0060 -&gt; OperacionDatosComplementariosCliente51
WSClientes0061 -&gt; OperacionDemograficosCliente51
WSClientes0062 -&gt; OperacionIdentificacionCliente51
WSClientes0072 -&gt; ActualizarDatosReferencias31
WSClientes0099 -&gt; OperacionLocalizacion51
WSClientes0101 -&gt; OperacionRelacionesCliente51
WSClientes0154 -&gt; consultarOficialHomologado01
WSTecnicos0076 -&gt; crearLogModificaciones21</t>
  </si>
  <si>
    <t>8912 - Rest</t>
  </si>
  <si>
    <t>115.2K</t>
  </si>
  <si>
    <t>713ms</t>
  </si>
  <si>
    <t>COE_TRANSFORMACION_PROCESOS
TRIBU CANALES</t>
  </si>
  <si>
    <t>deployment-cta-customers-core-*; CustomersController
deployment-cta-customers-core-*; CustomerUpdateController
onb-msa-firc
deployment-one-msa-sp-customer-v*-*
deployment-cta-customers-core-*; ProspectController</t>
  </si>
  <si>
    <t>Default Web Site:443,8043 (/BPMPichinchaDU); IIS app pool</t>
  </si>
  <si>
    <t>actualizarDatosCliente32</t>
  </si>
  <si>
    <t>https://s.icepanel.io/wJSECZOwwNkkW8/NIXN</t>
  </si>
  <si>
    <t>https://dev.azure.com/BancoPichinchaEC/adi-especificaciones-tecnicas/_git/adi-doc-tecspec-tribu-integracion-apis?version=GBmaster&amp;path=/sp%20-%20Soporte/tnd-msa-sp-orqclientes0048</t>
  </si>
  <si>
    <t>https://dev.azure.com/BancoPichinchaEC/tpl-bus-omnicanal/_git/sqb-msa-orqclientes0048</t>
  </si>
  <si>
    <t>https://pichincha.atlassian.net/browse/PCBG-604</t>
  </si>
  <si>
    <t>ORQClientes0050</t>
  </si>
  <si>
    <t xml:space="preserve">Actualiza contacto transaccional email y/o telefono celular , tiene una variante cuando el cliente no tiene n confianza de session el proceso no es en linea sino en un batch que corre cada hora </t>
  </si>
  <si>
    <t>WSClientes0024 --&gt; ConsultarIdentificacion01
WSClientes0030 --&gt; ConsultarContactoNotificacion01
WSClientes0028 --&gt; ActualizarEmailLocalizacion33		
WSClientes0028 --&gt; ConsultarEmailLocalizacion02	
WSClientes0028 --&gt; ActualizarCelularLocalizacion34	
WSClientes0028 --&gt; ConsultarCelularLocalizacion01	
WSClientes0020 --&gt; ActualizarContactoTransaccional31
WSTecnicos0035 --&gt; ActualizarEstadoTransaccionEspera31
WSTecnicos0036 --&gt; ConsultarDetalleTransaccionDelay02
WSTecnicos0036 --&gt; ConsultarDetalleTransaccionDelay03
WSTecnicos0036 --&gt; CrearDetalleTransaccionDelayServicio21	
WSTecnicos0027 --&gt; GenerarOTP51
WSTecnicos0027 --&gt; EvaluarOTP52
WSTecnicos0003 --&gt; obtenerCatalogo01
WSReglas0004 --&gt; ConsultarTransaccionDelay01
WSReglas0010 --&gt; ConsultarSeguridadNoFinanciero01</t>
  </si>
  <si>
    <t>SOAP 8911
REST 8912</t>
  </si>
  <si>
    <t>Almacena catalogo de horarios para delay en cache shared row, consume WSTecnicos0003</t>
  </si>
  <si>
    <t>WSTecnicos0003</t>
  </si>
  <si>
    <t>8.41k</t>
  </si>
  <si>
    <t>600ms</t>
  </si>
  <si>
    <t>TRIBU PRODUCTOS
TRIBU CANALES
TRIBU SEGMENTOS Y NEGOCIOS DIGITALES
TRIBU_DE_UNA</t>
  </si>
  <si>
    <t xml:space="preserve">ClientInformationController; mht-msa-user-profile
CustomerUpdateController; deployment-cta-customers-core-*
IBM MQ Queue Listener - CE_DELAY_301005031
WSTecnicos0064Request.WSTecnicos0064Port
ProspectController; deployment-cta-customers-core-*
Netty on 0:0:0:0:0:0:0:0:*; onb-msa-firc
Apigee; waf-tcs-ORQClientes0050
</t>
  </si>
  <si>
    <t>No se toma en cuenta las actualizaciones en Pichincah celular, Internexo y Banca Movil antigua ya que esos sitemas estan deprecados. Servicio consume informacion de CE_DELAY_301005031</t>
  </si>
  <si>
    <t>https://s.icepanel.io/wJSECZOwwNkkW8/EgCH</t>
  </si>
  <si>
    <t>https://dev.azure.com/BancoPichinchaEC/adi-especificaciones-tecnicas/_git/adi-doc-tecspec-tribu-integracion-apis?version=GBmaster&amp;path=/sp%20-%20Soporte/tnd-msa-sp-orqclientes0050</t>
  </si>
  <si>
    <t>sqb-msa-orqclientes0050 - Repos</t>
  </si>
  <si>
    <t>https://pichincha.atlassian.net/browse/PCBG-605</t>
  </si>
  <si>
    <t>ORQClientes0052</t>
  </si>
  <si>
    <t>Servicio que en lista las tarjetas de debito</t>
  </si>
  <si>
    <t>WSClientes0141 -&gt; consultarTarjetasDebitoCliente01</t>
  </si>
  <si>
    <t>WAS OMNICANALIDAD</t>
  </si>
  <si>
    <t>API - 443 - https://api.pichincha.com/tcs/ORQClientes0052</t>
  </si>
  <si>
    <t>1584K</t>
  </si>
  <si>
    <t>40.1ms</t>
  </si>
  <si>
    <t>TRIBU MEDIOS DE PAGO
TRIBU CANALES
TRIBU PRODUCTOS</t>
  </si>
  <si>
    <t>DebitCardConsolidateController, tdd-msa-card
DebitCardController, sda-msa-card-design-system
DebitCardRequestStateController, tdd-msa-card
CustomersInformationController, com.pichincha.AccountsApplication cta-accounts-*
WSClientes0141Request.WSClientes0141Port</t>
  </si>
  <si>
    <t>consultarTarjetasDebitoCliente01</t>
  </si>
  <si>
    <t>https://s.icepanel.io/wJSECZOwwNkkW8/XNiB</t>
  </si>
  <si>
    <t>https://dev.azure.com/BancoPichinchaEC/adi-especificaciones-tecnicas/_git/adi-doc-tecspec-tribu-integracion-apis?version=GBmaster&amp;path=/sp%20-%20Soporte/tpr-msa-sp-orqclientes0052</t>
  </si>
  <si>
    <t>sqb-msa-orqclientes0052 - Repos</t>
  </si>
  <si>
    <t>https://pichincha.atlassian.net/browse/PCBG-606</t>
  </si>
  <si>
    <t>ORQClientes0053</t>
  </si>
  <si>
    <t>Servicio para consultar retencion por cuenta y cliente</t>
  </si>
  <si>
    <t>WSClientes0024 --&gt; ConsultarIdentificacion01
WSProductos0189 --&gt; consultarRetencionJudicialId01
WSProductos0189 --&gt; consultarRetencionJudicialCuenta02
WSClientes0067 --&gt; ConsultarCuentasClientes01</t>
  </si>
  <si>
    <t>Bus Omnicanal</t>
  </si>
  <si>
    <t>7.66k</t>
  </si>
  <si>
    <t>170ms</t>
  </si>
  <si>
    <t>TRIBU PRODUCTOS
COE_TRANSFORMACION_PROCESOS</t>
  </si>
  <si>
    <t>creditoenlinea - crd-msa-control-list-integration - /api/v1/credit/precise/control-list-integration/validate-filters
WSClientes0179.API - /api/v1/ValidarCuentas/ValidarCuentas01 -&gt; Bizagi</t>
  </si>
  <si>
    <t>ConsultarRetencionJudicial04</t>
  </si>
  <si>
    <t>https://s.icepanel.io/wJSECZOwwNkkW8/Chdz</t>
  </si>
  <si>
    <t>https://dev.azure.com/BancoPichinchaEC/adi-especificaciones-tecnicas/_git/adi-doc-tecspec-tribu-integracion-apis?version=GBmaster&amp;path=/sp%20-%20Soporte/tnd-msa-sp-orqclientes0053</t>
  </si>
  <si>
    <t>sqb-msa-orqclientes0053</t>
  </si>
  <si>
    <t>https://pichincha.atlassian.net/browse/PCBG-607</t>
  </si>
  <si>
    <t>ORQClientes0054</t>
  </si>
  <si>
    <t>WSClientes0024 → ConsultarIdentificacion01 (destino: IIB)
WSClientes0038 → ConsultarDetalleAdicionalesCliente01 (destino: IIB)
WSClientes0061 → OperacionDemograficosCliente51 (destino: IIB)
WSClientes0007 → ConsultarContactoTransaccional01 (destino: IIB)
WSClientes0055 → OperacionActividadEconomicaCliente51 (destino: IIB)
WSClientes0038 → OperacionEconomicosCliente52 (destino: IIB)
WSClientes0099 → OperacionLocalizacion51 (destino: IIB)
WSTecnicos0063 → obtenerCatalogosSigloBancs01 (destino: WAS)</t>
  </si>
  <si>
    <t>439ms</t>
  </si>
  <si>
    <t>inv-msa-investments; InvestmentsController</t>
  </si>
  <si>
    <t>ConsultarInformacionCliente01</t>
  </si>
  <si>
    <t>https://s.icepanel.io/wJSECZOwwNkkW8/jGPX</t>
  </si>
  <si>
    <t>https://dev.azure.com/BancoPichinchaEC/adi-especificaciones-tecnicas/_git/adi-doc-tecspec-tribu-integracion-apis?version=GBmaster&amp;path=/sp%20-%20Soporte/tnd-msa-sp-orqclientes0054</t>
  </si>
  <si>
    <t>https://dev.azure.com/BancoPichinchaEC/tpl-bus-omnicanal/_git/sqb-msa-orqclientes0054</t>
  </si>
  <si>
    <t>https://pichincha.atlassian.net/browse/PCBG-608</t>
  </si>
  <si>
    <t>ORQClientes0056</t>
  </si>
  <si>
    <t>Orquesta la actualizacion de datos del cliente y del asesor</t>
  </si>
  <si>
    <t>WSClientes0153 -&gt; ConsultarDatosAdicionalesCliente01
WSClientes0154 -&gt; consultarOficialHomologado01
WSClientes0155 -&gt; consultarOficialHomologado02
WSClientes0156 -&gt; ActualizarOficialCliente31</t>
  </si>
  <si>
    <t>144ms</t>
  </si>
  <si>
    <t>Segun BDD: 00344 - PLATAFORMACOMERCIALCRM</t>
  </si>
  <si>
    <t>ActualizarOficialCliente31</t>
  </si>
  <si>
    <t>https://s.icepanel.io/wJSECZOwwNkkW8/zVf0</t>
  </si>
  <si>
    <t>https://dev.azure.com/BancoPichinchaEC/adi-especificaciones-tecnicas/_git/adi-doc-tecspec-tribu-integracion-apis?version=GBmaster&amp;path=/sp%20-%20Soporte/tnd-msa-sp-orqclientes0056</t>
  </si>
  <si>
    <t>https://dev.azure.com/BancoPichinchaEC/tpl-bus-omnicanal/_git/sqb-msa-orqclientes0056</t>
  </si>
  <si>
    <t>https://pichincha.atlassian.net/browse/PCBG-609</t>
  </si>
  <si>
    <t>ORQClientes0059</t>
  </si>
  <si>
    <t>Servicio de actualizar y consultar datos complementarios PRY_CENTRO_DIGITAL</t>
  </si>
  <si>
    <t>WSClientes0006
WSClientes0060
WSClientes0101
WSClientes0122</t>
  </si>
  <si>
    <t>259ms</t>
  </si>
  <si>
    <t>No se identifica consumidores (doble check)</t>
  </si>
  <si>
    <t>Servicios_Consumidos_Vinculacion_Integral</t>
  </si>
  <si>
    <t>ProcesarDatosComplementariosCliente31</t>
  </si>
  <si>
    <t>https://s.icepanel.io/wJSECZOwwNkkW8/bfwG</t>
  </si>
  <si>
    <t>https://dev.azure.com/BancoPichinchaEC/adi-especificaciones-tecnicas/_git/adi-doc-tecspec-tribu-integracion-apis?version=GBmaster&amp;path=/sp%20-%20Soporte/tnd-msa-sp-orqclientes0059</t>
  </si>
  <si>
    <t>sqb-msa-orqclientes0059 - Repos</t>
  </si>
  <si>
    <t>https://pichincha.atlassian.net/browse/PCBG-610</t>
  </si>
  <si>
    <t>pendiente icepanel</t>
  </si>
  <si>
    <t>ORQClientes0062</t>
  </si>
  <si>
    <t>procesa direcciones del cliente sin segundo factor de autenticación</t>
  </si>
  <si>
    <t>WSClientes0015(eliminarDireccionCliente44, consultarDireccionesClientes01, crearModificarDireccionCliente22) → WSConexionLdap → srcpprd
WSTecnicos0063(obtenerCatalogosSigloBancs01) → p012band_taf
CE_EVENTOS</t>
  </si>
  <si>
    <t>72.6k</t>
  </si>
  <si>
    <t>92.4 ms</t>
  </si>
  <si>
    <t>TRIBU PRODUCTOS
TRIBU MEDIOS DE PAGO
TRIBU SEGMENTOS Y NEGOCIOS DIGITALES
AREA MICROFINANZAS</t>
  </si>
  <si>
    <t>creditoenlinea -crd-msa-insurance-integration -deployment-crd-msa-insurance-integration-*
CustomerAddressController: tdd-msa-card-debitcard-gateway (REN) 
NovaController: sge-msa-bc-prab-insurance-management</t>
  </si>
  <si>
    <t>NOVA(Hub Seguros)
REN</t>
  </si>
  <si>
    <t>procesarDireccionesCliente05</t>
  </si>
  <si>
    <t>Servicio que procesa direcciones sin 2FA, reglas de seguridad apagadas</t>
  </si>
  <si>
    <t>ORQClientes0062 Component Diagram | Banco Pichincha C.A. landscape | IcePanel App</t>
  </si>
  <si>
    <t>https://dev.azure.com/BancoPichinchaEC/adi-especificaciones-tecnicas/_git/adi-doc-tecspec-tribu-integracion-apis?version=GBmaster&amp;path=/sp%20-%20Soporte/tnd-msa-sp-orqclientes0062</t>
  </si>
  <si>
    <t>https://dev.azure.com/BancoPichinchaEC/tpl-bus-omnicanal/_git/sqb-msa-orqclientes0062</t>
  </si>
  <si>
    <t>https://pichincha.atlassian.net/browse/PCBG-611</t>
  </si>
  <si>
    <t>ORQClientes0063</t>
  </si>
  <si>
    <t>procesa datos sobre la actividad económica de un cliente</t>
  </si>
  <si>
    <t>WSClientes0027(ProcesarDatosIdentificacionCliente51)
WSClientes0055(OperacionActividadEconomicaCliente52) → WSConexionLdap → srvpprd
CE_EVENTOS</t>
  </si>
  <si>
    <t>BUS OMNICANAL</t>
  </si>
  <si>
    <t>14.72k</t>
  </si>
  <si>
    <t>127 ms</t>
  </si>
  <si>
    <t>deployment-mht-msa-economic-data-*
deployment-mht-msa-firc-gtw-*</t>
  </si>
  <si>
    <t>Onboard Clientes
CRM</t>
  </si>
  <si>
    <t>actualizarActividadEconomicoCliente31</t>
  </si>
  <si>
    <t>ORQClientes0063 Component Diagram | Banco Pichincha C.A. landscape | IcePanel App</t>
  </si>
  <si>
    <t>https://dev.azure.com/BancoPichinchaEC/adi-especificaciones-tecnicas/_git/adi-doc-tecspec-tribu-integracion-apis?version=GBmaster&amp;path=/sp%20-%20Soporte/tnd-msa-sp-orqclientes0063</t>
  </si>
  <si>
    <t>sqb-msa-orqclientes0063 - Repos</t>
  </si>
  <si>
    <t>https://pichincha.atlassian.net/browse/PCBG-686</t>
  </si>
  <si>
    <t>ORQClientes0071</t>
  </si>
  <si>
    <t>Consultar detalle del cliente como identificación, segmento, económicos, FATCA.</t>
  </si>
  <si>
    <t>WSClientes0055(OperacionActividadEconomicaCliente51)
WSClientes0062(OperacionIdentificacionCliente51)
WSClientes0077(ConsultarDatoBasicoCliente01)
WSSeguridad0029(consultaAsesorAgenciaAnclaje01) → srvpprd
WSTecnicos0063(obtenerCatalogosSigloBancs01) → srvpprd
WSClientes0038(OperacionEconomicosCliente52)
WSClientes0024(ConsultarIdentificacion01)
CE_EVENTOS</t>
  </si>
  <si>
    <t>97.6k</t>
  </si>
  <si>
    <t>433 ms</t>
  </si>
  <si>
    <t>TRIBU SEGMENTOS Y NEGOCIOS DIGITALES
TRIBU CANALES</t>
  </si>
  <si>
    <t>DebitCardOfferController → 
    - tdd-msa-debitcard-gateway 
    - REN
Default Web Site:443, 8043 (/BPMPichinchaSG)
Default Web Site:443, 8043 (BPMPichinchaCH)
ORQClientes0079 → deployment-tcf-msa-dm-orqclientes*_*
ExternalServicesController   →
   deployment-sec-msa-car-parameter-analysis-*
   mht-msa-user-profile; ClientInformationController
   mht-msa-user-profile; ProcessAddressController
   omn-msa-user-profile; ClientInformationController</t>
  </si>
  <si>
    <t>DebitCardOfferController
BPMPichinchaSG
BPMPichincahCH
ExternalServicesController</t>
  </si>
  <si>
    <t>consultarDetalleCliente01</t>
  </si>
  <si>
    <t>OrqClientes0071 Component Diagram | Banco Pichincha C.A. landscape | IcePanel App</t>
  </si>
  <si>
    <t>https://dev.azure.com/BancoPichinchaEC/adi-especificaciones-tecnicas/_git/adi-doc-tecspec-tribu-integracion-apis?version=GBmaster&amp;path=/sp%20-%20Soporte/tnd-msa-sp-orqclientes0071</t>
  </si>
  <si>
    <t>sqb-msa-orqclientes0071 - Repos</t>
  </si>
  <si>
    <t>https://pichincha.atlassian.net/browse/PCBG-687</t>
  </si>
  <si>
    <t>ORQClientes0072</t>
  </si>
  <si>
    <t xml:space="preserve"> Servicio que actualiza, elimina, consulta y modifica las direcciones del cliente PRY_CENTRO_DIGITAL</t>
  </si>
  <si>
    <t>WSClientes0015
  crearModificarDireccionCliente22
  consultarDireccionesClientes01
  eliminarDireccionCliente44
WSTecnicos0063
  obtenerCatalogosSigloBancs01
WSReglas0010
  ConsultarSeguridadNoFinanciero01
WSTecnicos0027
 GenerarOTP51
  EvaluarOTP52</t>
  </si>
  <si>
    <t>39.6K</t>
  </si>
  <si>
    <t>87.2ms</t>
  </si>
  <si>
    <t>TRIBU SEGMENTOS Y NEGOCIOS DIGITALES
BPM</t>
  </si>
  <si>
    <t>mht-msa-user-profile; ClientInformationController
mht-msa-user-profile; ProcessAddressController</t>
  </si>
  <si>
    <t>procesarDireccionesCliente51</t>
  </si>
  <si>
    <t>https://s.icepanel.io/wJSECZOwwNkkW8/rqTm</t>
  </si>
  <si>
    <t>https://dev.azure.com/BancoPichinchaEC/adi-especificaciones-tecnicas/_git/adi-doc-tecspec-tribu-integracion-apis?version=GBmaster&amp;path=/sp%20-%20Soporte/tnd-msa-sp-orqclientes0072</t>
  </si>
  <si>
    <t>sqb-msa-orqclientes0072 - Repos</t>
  </si>
  <si>
    <t>https://pichincha.atlassian.net/browse/PCBG-614</t>
  </si>
  <si>
    <t>TRIBU CANALES
TRIBU MEDIOS DE PAGOS</t>
  </si>
  <si>
    <t>no aplica</t>
  </si>
  <si>
    <t>Afecta algunos servicios</t>
  </si>
  <si>
    <t>Afecta un servicio</t>
  </si>
  <si>
    <t>WSClientes0001</t>
  </si>
  <si>
    <t>Consulta Cuentas Activas</t>
  </si>
  <si>
    <t>UMPProductos0049 -&gt; ConsultarPosicionConsolidadaCliente01 -&gt; 060450
UMPProductos0001 -&gt; ConsultarCuentas01 -&gt; 060453 / 060452
UMPProductos0066 -&gt; ConsultarFirmaUnicaIndependiente01 -&gt; 064014</t>
  </si>
  <si>
    <t>TX BANCS</t>
  </si>
  <si>
    <t>29.8K</t>
  </si>
  <si>
    <t>36.8 ms</t>
  </si>
  <si>
    <t>COE_TRANSFORMACION_PROCESOS
TRIBU ADMINISTRACION DE CREDITO
TRIBU CANALES</t>
  </si>
  <si>
    <t>ORQClientes0025
ORQProductos0019
WSProductos0183.API; deployment-cnb-msa-dm-wsproductos
WSProductos0184.API; deployment-cnb-msa-dm-wsproductos
WSProductos0185.API; deployment-cnb-msa-dm-wsproductos</t>
  </si>
  <si>
    <t>ConsultarCuentasActivas01</t>
  </si>
  <si>
    <t>https://s.icepanel.io/wJSECZOwwNkkW8/6HIP</t>
  </si>
  <si>
    <t>https://dev.azure.com/BancoPichinchaEC/adi-especificaciones-tecnicas/_git/adi-doc-tecspec-tribu-integracion-apis?version=GBmaster&amp;path=/sp%20-%20Soporte/tpr-msa-sp-wsclientes0001</t>
  </si>
  <si>
    <t>sqb-msa-wsclientes0001 - Repos</t>
  </si>
  <si>
    <t>https://pichincha.atlassian.net/browse/PCBG-690</t>
  </si>
  <si>
    <t>WSClientes0003</t>
  </si>
  <si>
    <t>Permite consultar tarjetas de cliente</t>
  </si>
  <si>
    <t>UMPProductos0003 (ConsultarTarjetas01) →  https://www.optar.com.ec:443/optar.Banco.Web/PosicionConsolidada.aspx
UMPProductos0041(ConsultarTarjetaCreditoIntegrador01) →   "https://bpintegrador.pichincha.com/TCSIntegradorInterdin/InterdinPosConsTarj.aspx?UserId="</t>
  </si>
  <si>
    <t>InterdinPosConsTarj.aspx
INTEDIN</t>
  </si>
  <si>
    <t>CIfrado para la consulta de tarjetas en UMP</t>
  </si>
  <si>
    <t>288k</t>
  </si>
  <si>
    <t>110ms</t>
  </si>
  <si>
    <t>74.7k</t>
  </si>
  <si>
    <t>Interdin /Common/VS_MNT_VISA:443 (https://bpintegrador.pichincha.com:443/TCSIntegradorInterdin/InterdinPosConsTarj.aspx)</t>
  </si>
  <si>
    <t>ConsultarTarjetasActivas01</t>
  </si>
  <si>
    <t>1. con el valor booleano en true consulta una sola UMP
2. Se debe considerar no usar la integración con interdinPosConsTarj.aspc que en su momento fue el mediador con INTERDIN. Ya que ahora se expuso nuevas interfaz a travé sde APIM con el partner.</t>
  </si>
  <si>
    <t>https://app.icepanel.io/landscapes/w71QNHgfDvF79GrSuA3r/versions/latest/diagrams/editor?domain=z5rnxbake2&amp;diagram=r5OdNur28F&amp;model=7occc01ipao&amp;overlay_tab=tags&amp;x1=-773.6&amp;y1=-72&amp;x2=1717.6&amp;y2=1248</t>
  </si>
  <si>
    <t>https://dev.azure.com/BancoPichinchaEC/adi-especificaciones-tecnicas/_git/adi-doc-tecspec-tribu-integracion-apis?version=GBmaster&amp;path=/sp%20-%20Soporte/tpr-msa-sp-wsclientes0003</t>
  </si>
  <si>
    <t>sqb-msa-wsclientes0003 - Repos</t>
  </si>
  <si>
    <t>https://pichincha.atlassian.net/browse/PCBG-741</t>
  </si>
  <si>
    <t>llama dos umps</t>
  </si>
  <si>
    <t>WSClientes0006</t>
  </si>
  <si>
    <t>Consulta informacion basica del cliente</t>
  </si>
  <si>
    <t>UMPClientes0020-&gt; ConsultaInformacionCliente01-&gt; TX067050-&gt; Consulta información basica del cliente
UMPTecnicos0006 -&gt; ConsultarTransaccionCatalogo01 -&gt; TX079006 -&gt; Consultar de catalogo: ciudad, nacionalidad, agencia
UMPClientes0042 -&gt; ConsultarReferencia01 -&gt; TX062120 -&gt; Consulta el instancia de direccion correspondencia -&gt;TX061404-&gt;Consulta el direccion correspondencia</t>
  </si>
  <si>
    <t>SOAP - 8934
REST - 8912</t>
  </si>
  <si>
    <t>768K</t>
  </si>
  <si>
    <t>100ms</t>
  </si>
  <si>
    <t>TRIBU CANALES
TRIBU MEDIOS DE PAGO
TRIBU PRODUCTOS</t>
  </si>
  <si>
    <t>deployment-omn-msa-creditcard-payment-* omn-msa-creditcard-payment
deployment-omn-msa-interbank-creditcard-payment-* omn-msa-interbank-creditcard-payment
ORQClientes0002
ORQClientes0059
ORQProductos1002
ORQClientes0079.API deployment-tcf-msa-dm-orqclientes*-*
DebitCardOffertController  tdd-msa-card
PaymentFavoritesController sda-msa-payments
BillPaymentsController sda-msa-payments</t>
  </si>
  <si>
    <t>Default Web Site:443,8043 
(/BPMPichinchaTD)</t>
  </si>
  <si>
    <t>ConsultarInformacionBasica01</t>
  </si>
  <si>
    <t>https://s.icepanel.io/wJSECZOwwNkkW8/xhL8</t>
  </si>
  <si>
    <t>https://dev.azure.com/BancoPichinchaEC/adi-especificaciones-tecnicas/_git/adi-doc-tecspec-tribu-integracion-apis?version=GBmaster&amp;path=/sp%20-%20Soporte/tnd-msa-sp-wsclientes0006</t>
  </si>
  <si>
    <t>sqb-msa-wsclientes0006 - Repos</t>
  </si>
  <si>
    <t>https://pichincha.atlassian.net/browse/PCBG-382</t>
  </si>
  <si>
    <t>WSClientes0007</t>
  </si>
  <si>
    <t xml:space="preserve"> Consultar Contacto Transaccional para notificaciones</t>
  </si>
  <si>
    <t>UMPClientes0002 -&gt; ConsultarInformacionBasica01 -&gt; TX060480 -&gt; Consulta el CIF del cliente
UMPClientes0028 -&gt; ConsultarIdentificacion01 -&gt; http://10.151.8.62:8934/Omnicanalidad/AplicationServer/WSClientes0045 -&gt; Consulta identificacion cliente (Declarada pero no usada)
UMPClientes0020 -&gt; ConsultaInformacionCliente01  -&gt; 067050 -&gt; Consulta información basica del cliente
UMPClientes0003 -&gt; ConsultarContactoNotificacion01 -&gt; TX067186 -&gt; Consulta contacto transaccional del cliente
UMPClientes0005 -&gt; ActualizarContactoTransaccional31 -&gt; TX067186 -&gt; Actualizar el contacto transaccional del cliente</t>
  </si>
  <si>
    <t xml:space="preserve">TXT BANCS
</t>
  </si>
  <si>
    <t>SOAP - 8934
SOAP - 8911
REST - 8912</t>
  </si>
  <si>
    <t>1386K</t>
  </si>
  <si>
    <t>36.1ms</t>
  </si>
  <si>
    <t xml:space="preserve">TRIBU CORES Y TRANSACCIONES
TRIBU MEDIOS DE PAGO
TRIBU CANALES
TRIBU PRODUCTOS
COE DE TRANSFORMACIÓN DE PROCESOS Y AUTOMATIZACION
TRIBU INTEGRACIONES Y APIS
AREA REMESAS
AREA MICROFINANZAS
</t>
  </si>
  <si>
    <t>apim-apimtrans-prod-01 East US
ClientContactInformationController; app-core-account-client-contact-info
GatewayController; deployment-ws-motor-transferencias-java-*
trv-msa-sp-customer; deployment-trv-msa-sp
deployment-tcp-custom
deployment-one-msa-sp-customer-v*-*
NovaController; sge-msa-bc-prab-insurance-management
ORQClientes0064.API; deployment-bmn-msa-bs-orqclientes*-*
ORQClientes0078.API; deployment-ays-msa-dm-orqclientes*-*
ORQClientes0079.API; deployment-tcf-msa-dm-orqclientes*-*
ORQTransferencias0006.API; deployment-tna-msa-dm-orqtransferencias*-*
ORQTransferencias1021.API; deployment-rms-msa-dm-orqtransferencias*-*
WSProductos0239.API; deployment-mfi-msa-dm-wsproductos*-*
TransaccionalContactController; ach-msa-customer -&gt; https://10.151.152.109:8912/Omnicanalidad/IntegrationBus/WSClientes0007
TransactionalContactController; tre-msa-customer
CustomerIntegrationController; deployment-crd- -&gt; ORQClientes0002
InsuranceControllerImpl; sge-msa-insurance
ORQProductos1002
ORQProductos0068
ORQSeguridad0004
ORQSeguridad0021
ORQSeguridad0022
ORQClientes0002
ORQClientes0016
ORQClientes0029
ORQClientes0037
ORQClientes0040
ORQClientes0048
ORQClientes0054
WSBilleteraMovil005</t>
  </si>
  <si>
    <t>Default Web Site:443,8043 (/BPMPichinchaCTA)
Default Web Site:443,8043 (/BPMPichinchaSG)
Default Web Site:443,8043 (/BPMPichinchaTD)</t>
  </si>
  <si>
    <t>ConsultarContactoTransaccional01</t>
  </si>
  <si>
    <t xml:space="preserve">No se observa transaccionalidad en el servicio WSClientes0045 que es backend a nivel del codigo no se usa la UMPClientes0028 </t>
  </si>
  <si>
    <t>https://s.icepanel.io/wJSECZOwwNkkW8/7y4b</t>
  </si>
  <si>
    <t>https://dev.azure.com/BancoPichinchaEC/adi-especificaciones-tecnicas/_git/adi-doc-tecspec-tribu-integracion-apis?path=/sp%20-%20Soporte/tnd-msa-sp-wsclientes0007</t>
  </si>
  <si>
    <t>sqb-msa-wsclientes0007 - Repos</t>
  </si>
  <si>
    <t>https://pichincha.atlassian.net/browse/PCBG-383</t>
  </si>
  <si>
    <t>WSClientes0011</t>
  </si>
  <si>
    <t>Consulta datos de identificacion del Cliente</t>
  </si>
  <si>
    <t xml:space="preserve">
UMPClientes0020 (ConsultaInformacionCliente01) -&gt; TX067050 - Consulta información basica del cliente</t>
  </si>
  <si>
    <t>REST, SOAP</t>
  </si>
  <si>
    <t>3k</t>
  </si>
  <si>
    <t>55ms</t>
  </si>
  <si>
    <t>Coe de Transformacion de Procesos y Automatizacion</t>
  </si>
  <si>
    <t>ORQClientes0064
ORQClientes0029</t>
  </si>
  <si>
    <t>ConsultarDatosIdentificacionCliente01</t>
  </si>
  <si>
    <t>https://s.icepanel.io/wJSECZOwwNkkW8/UBTz</t>
  </si>
  <si>
    <t>https://dev.azure.com/BancoPichinchaEC/adi-especificaciones-tecnicas/_git/adi-doc-tecspec-tribu-integracion-apis?path=/sp%20-%20Soporte/tnd-msa-sp-wsclientes0011</t>
  </si>
  <si>
    <t>sqb-msa-wsclientes0011 - Repos</t>
  </si>
  <si>
    <t>https://pichincha.atlassian.net/browse/PCBG-471</t>
  </si>
  <si>
    <t>WSClientes0012</t>
  </si>
  <si>
    <t>Consulta dato demográfico del cliente</t>
  </si>
  <si>
    <t>UMPClientes0020 -&gt; ConsultaInformacionCliente01 -&gt; TX067050-&gt; Consulta información basica del cliente</t>
  </si>
  <si>
    <t>SOAP - 8934
REST- 8937</t>
  </si>
  <si>
    <t>2.34k</t>
  </si>
  <si>
    <t>51.8ms</t>
  </si>
  <si>
    <t>ORQClientes0029
ORQClientes0064.API;deployment-bmn-msa-bs-orqclientes*-*</t>
  </si>
  <si>
    <t>ConsultarDatoDemograficoCliente01</t>
  </si>
  <si>
    <t>https://s.icepanel.io/wJSECZOwwNkkW8/IS9I</t>
  </si>
  <si>
    <t>https://dev.azure.com/BancoPichinchaEC/adi-especificaciones-tecnicas/_git/adi-doc-tecspec-tribu-integracion-apis?path=/sp%20-%20Soporte/tnd-msa-sp-wsclientes0012</t>
  </si>
  <si>
    <t>sqb-msa-wsclientes0012 - Repos</t>
  </si>
  <si>
    <t>https://pichincha.atlassian.net/browse/PCBG-472</t>
  </si>
  <si>
    <t>WSClientes0013</t>
  </si>
  <si>
    <t>Servicio que permite reutilizar la funcionalidad de consultar información de localización del cliente.</t>
  </si>
  <si>
    <t>UMPClientes0020 -&gt; Consulta información basica del cliente mediante TX067050.
TX067050 -&gt;  Consulta el CIF del cliente.
opción: 
2
21
18
17
15
14</t>
  </si>
  <si>
    <t>2.68k</t>
  </si>
  <si>
    <t>460 ms</t>
  </si>
  <si>
    <t>ORQClientes0029
ORQClientes0064.API
ORQClientes*.API.dll deployment-bmn-msa-bs-orqclientes*-*</t>
  </si>
  <si>
    <t>N/A</t>
  </si>
  <si>
    <t>ConsultarDatosLocalizacionCliente01</t>
  </si>
  <si>
    <t>https://app.icepanel.io/landscapes/w71QNHgfDvF79GrSuA3r/versions/latest/diagrams/editor?diagram=DgtCdHrjDp&amp;model=w4gvcsly0h&amp;overlay_tab=tags&amp;x1=-489.6&amp;y1=-24&amp;x2=2384.2&amp;y2=1448</t>
  </si>
  <si>
    <t>https://dev.azure.com/BancoPichinchaEC/adi-especificaciones-tecnicas/_git/adi-doc-tecspec-tribu-integracion-apis?path=/sp%20-%20Soporte/tnd-msa-sp-wsclientes0013</t>
  </si>
  <si>
    <t>sqb-msa-wsclientes0013 - Repos</t>
  </si>
  <si>
    <t>https://pichincha.atlassian.net/browse/PCBG-473</t>
  </si>
  <si>
    <t>BANCS</t>
  </si>
  <si>
    <t>WSClientes0015</t>
  </si>
  <si>
    <t>Microservicio que consulta, crea y elimina las direcciones del cliente PRY_CENTRO_DIGITAL</t>
  </si>
  <si>
    <t>UMPClientes0064 -&gt; OperacionLocalizacion51 -&gt; TX061404 -&gt; Consulta la localizacion de un cliente
UMPClientes0175 -&gt; OperacionGeolocalizacion52 -&gt; TX062130 -&gt; Consulta, actualiza, crea y elimina las geolocalizacion
UMPClientes0066 -&gt; OperacionCorrespondenciaLocalizacion51 -&gt; TX062120 -&gt; Consulta la correspondencia de un cliente
UMPClientes0020 -&gt; ConsultaInformacionCliente01 -&gt; TX067050 -&gt; Consulta información basica del cliente
UMPClientes0063 -&gt; OperacionDireccion51 -&gt; TX067010 -&gt; Consulta la localizacion de un cliente</t>
  </si>
  <si>
    <t>102,8K</t>
  </si>
  <si>
    <t>75.9ms</t>
  </si>
  <si>
    <t>ORQClientes0062
ORQClientes0072</t>
  </si>
  <si>
    <t>OperacionLocalizacion51
OperacionGeolocalizacion52
OperacionCorrespondenciaLocalizacion51
ConsultaInformacionCliente01
OperacionDireccion51</t>
  </si>
  <si>
    <t>https://app.icepanel.io/landscapes/w71QNHgfDvF79GrSuA3r/versions/latest/diagrams/editor?diagram=tQFeLLP7bp&amp;model=RNAuXBAYB9&amp;overlay_tab=tags&amp;x1=-184&amp;y1=-160.4&amp;x2=3065.5&amp;y2=1280.4</t>
  </si>
  <si>
    <t>https://dev.azure.com/BancoPichinchaEC/adi-especificaciones-tecnicas/_git/adi-doc-tecspec-tribu-integracion-apis?path=/sp%20-%20Soporte/tnd-msa-sp-wsclientes0015</t>
  </si>
  <si>
    <t>sqb-msa-wsclientes0015 - Repos</t>
  </si>
  <si>
    <t>https://pichincha.atlassian.net/browse/PCBG-384</t>
  </si>
  <si>
    <t>WSClientes0020</t>
  </si>
  <si>
    <t>Microservicio que permite Actualizar el contacto transaccional en Bancs</t>
  </si>
  <si>
    <t>UMPClientes0003 -&gt; ConsultarContactoNotificacion -&gt; TX067186 -&gt; Consulta contacto transaccional del cliente
UMPClientes0005 -&gt; ActualizarContactoTransacciona -&gt; TX067186 -&gt; Actualizar el contacto transaccional del cliente</t>
  </si>
  <si>
    <t>13.8K</t>
  </si>
  <si>
    <t>49.5ms</t>
  </si>
  <si>
    <t>TRIBU CANALES
TRIBU PRODUCTOS
COE_TRANSFORMACION_PROCESOS
TRIBU SEGMENTOS Y NEGOCIOS DIGITALES
TRIBU_DE_UNA</t>
  </si>
  <si>
    <t>ORQClientes0004
ORQClientes0038
ORQClientes0048
ORQClientes0050
ORQProductos0052</t>
  </si>
  <si>
    <t>https://s.icepanel.io/wJSECZOwwNkkW8/QOc8</t>
  </si>
  <si>
    <t>https://dev.azure.com/BancoPichinchaEC/adi-especificaciones-tecnicas/_git/adi-doc-tecspec-tribu-integracion-apis?path=/sp%20-%20Soporte/tnd-msa-sp-wsclientes0020</t>
  </si>
  <si>
    <t>sqb-msa-wsclientes0020 - Repos</t>
  </si>
  <si>
    <t>https://pichincha.atlassian.net/browse/PCBG-385</t>
  </si>
  <si>
    <t>WSClientes0024</t>
  </si>
  <si>
    <t>Servicio que consulta la información básica del cliente.</t>
  </si>
  <si>
    <t>UMPClientes0002 -&gt; ConsultarInformacionBasica01 -&gt; TX060480 -&gt; Consulta el CIF del cliente
mdw-msa-sp-tmp-customer --&gt; Stratio</t>
  </si>
  <si>
    <t>TXT Bancs
openshift 4</t>
  </si>
  <si>
    <t>Mapeo hacia MSA de OPS mdw-msa-sp-tmp-customer</t>
  </si>
  <si>
    <t>2.634M</t>
  </si>
  <si>
    <t>31ms</t>
  </si>
  <si>
    <t>ORQClientes0005
ORQClientes0003
ORQClientes0008
ORQClientes0019
ORQClientes0037
ORQClientes0048
ORQClientes0050
ORQClientes0053
ORQClientes0071
ORQProductos0036
ORQProductos0038
ORQProductos0062
ORQProductos0068
WSProductos0183.API - /api/v1/clients/{idCliente}/accounts/{account}/cashdeposit
WSProductos0184.API - /api/v1/clients/{idCliente}/accounts/0121/cashwithdrawal
ORQTransferencias1016.API - /api/v1/TransferenciasInterbancarias/EjecutarTransferenciaInterbancarias11
ORQTransferencias1005.API - /api/v1/TransferenciasDirectas/EjecutarTransferenciaDirecta15
ORQPagos1002.API - /api/v1/PagoTarjetaOtrosBancos/EjecutarPagoTarjetaOtroBanco11
WSTecnicos0038 (eventHandler Framework Omnicanal)
ORQSeguridad0004
ORQSeguridad0021
cta-customers-core - /getCustomerInformation
ach-msa-customer - /getUserValidation
onb-msa-insurance - /api/v1/onboard/insurance/validate-offerable-product
onb-msa-firc - /api/v1/firc/customer/{idCliente}/{tipoId}
onb-msa-checking-customer - /api/v1/onboard/checking-customers</t>
  </si>
  <si>
    <t>BIZAGI_IAAS
https://autogestiontd.bpichincha.com/
Gestor Documental IBM FileNet
https://gestiondocumental.pichincha.com/navigator/?desktop=*****</t>
  </si>
  <si>
    <t>ConsultarIdentificacion01</t>
  </si>
  <si>
    <t xml:space="preserve">No se requiere migrar, validar reapuntamiento de MPGW hacia msa mdw-msa-sp-tmp-customer en caso de que legacy no soporte la nueva entrada y para los MSA y API de OPS el apuntamiento se haga directo al msa mdw-msa-sp-tmp-customer </t>
  </si>
  <si>
    <t>https://s.icepanel.io/wJSECZOwwNkkW8/Tf15</t>
  </si>
  <si>
    <t>https://dev.azure.com/BancoPichinchaEC/adi-especificaciones-tecnicas/_git/adi-doc-tecspec-tribu-integracion-apis?path=/sp%20-%20Soporte/tnd-msa-sp-wsclientes0024</t>
  </si>
  <si>
    <t>sqb-msa-wsclientes0024 - Repos</t>
  </si>
  <si>
    <t>https://pichincha.atlassian.net/browse/PCBG-386</t>
  </si>
  <si>
    <t>WSClientes0025</t>
  </si>
  <si>
    <t>Consulta informacion de cheque protestado</t>
  </si>
  <si>
    <t>UMPClientes0010 -&gt; ConsultarInformacionChequeProtestado01-&gt;051059</t>
  </si>
  <si>
    <t>832/ Diario</t>
  </si>
  <si>
    <t>45ms</t>
  </si>
  <si>
    <t>BPM
Tribu de Administracion de Credito
Tribu Retail</t>
  </si>
  <si>
    <t xml:space="preserve">ORQClientes0025
</t>
  </si>
  <si>
    <t>onsultarInformacionChequeProtestado01</t>
  </si>
  <si>
    <t xml:space="preserve">Solicitar ConsultarInformacionChequeProtestado01_Compute.esql del servidor 10.70.128.112 
Se cierra el servcio 09/12/25 </t>
  </si>
  <si>
    <t>https://s.icepanel.io/wJSECZOwwNkkW8/XbGe</t>
  </si>
  <si>
    <t>https://dev.azure.com/BancoPichinchaEC/adi-especificaciones-tecnicas/_git/adi-doc-tecspec-tribu-integracion-apis?path=/sp%20-%20Soporte/tpr-msa-sp-wsclientes0025</t>
  </si>
  <si>
    <t>https://bancopichincha.service-now.com/esc?id=ticket&amp;table=sc_req_item&amp;sys_id=90ef38c48779f2501ec985580cbb3509&amp;view=sp</t>
  </si>
  <si>
    <t>https://pichincha.atlassian.net/browse/PCBG-474</t>
  </si>
  <si>
    <t>WSClientes0027</t>
  </si>
  <si>
    <t>Microservicio que consulta la correspondencia de un cliente</t>
  </si>
  <si>
    <t>UMPClientes0078 -&gt; OperacionIdentificacionCliente51 -&gt; TX067153 -&gt; Consulta información de identificación del cliente
UMPClientes0066 -&gt; OperacionCorrespondenciaLocalizacion51 -&gt; TX062120 -&gt; Consulta la correspondencia de un cliente</t>
  </si>
  <si>
    <t>114,6k</t>
  </si>
  <si>
    <t>48.6ms</t>
  </si>
  <si>
    <t>ORQClientes0048
ORQClientes0063</t>
  </si>
  <si>
    <t>OperacionCorrespondenciaLocalizacion51</t>
  </si>
  <si>
    <t>https://s.icepanel.io/wJSECZOwwNkkW8/tar5</t>
  </si>
  <si>
    <t>https://dev.azure.com/BancoPichinchaEC/adi-especificaciones-tecnicas/_git/adi-doc-tecspec-tribu-integracion-apis?path=/sp%20-%20Soporte/tnd-msa-sp-wsclientes0027</t>
  </si>
  <si>
    <t>https://dev.azure.com/BancoPichinchaEC/tpl-bus-omnicanal/_git/sqb-msa-wsclientes0027</t>
  </si>
  <si>
    <t>https://pichincha.atlassian.net/browse/PCBG-387</t>
  </si>
  <si>
    <t>WSClientes0028</t>
  </si>
  <si>
    <t>Consulta y actualiza datos de localización como medios de contacto del cliente (celular, emai)</t>
  </si>
  <si>
    <t>ActualizarCelularLocalizacion34 →
 - UMPClientes0020(ConsultaInformacionCliente01) → TX067050 opcion:14
 - UMPClientes0034(ActualizarCelularLocalizacionCliente31) → TX067125 option21:A
ActualizarEmailLocalizacion33 →
 - UMPClientes0020(ConsultaInformacionCliente01)  → TX067050 opcioni:15
 - UMPClientes0033(ActualizarEmailLocalizacionCliente31) → TX067126  option21:A
ConsultarCelularLocalizacion01 →
 - UMPClientes0020(ConsultaInformacionCliente01) → TX067050 opcion:14
ConsultarEmailLocalizacion02 →
 - UMPClientes0020(ConsultaInformacionCliente01)  → TX067050 opcion:15</t>
  </si>
  <si>
    <t>10.6k</t>
  </si>
  <si>
    <t>42.8 ms</t>
  </si>
  <si>
    <t>12.9</t>
  </si>
  <si>
    <t>TRIBU SEGMENTOS Y NEGOCIOS DIGITALES
COE CIBERSEGURIDAD</t>
  </si>
  <si>
    <t>ConsultarCelularLocalizacion01
ConsultarEmailLocalizacion02
ActualizarCelularLocalizacion34
ActualizarEmailLocalizacion33</t>
  </si>
  <si>
    <t>Utilizado para actualizar datos del contacto transaccional en línea o delay</t>
  </si>
  <si>
    <t>https://app.icepanel.io/landscapes/w71QNHgfDvF79GrSuA3r/versions/latest/diagrams/editor?domain=z5rnxbake2&amp;diagram=hFxr4XJYAz&amp;model=6VcKYw8fMd&amp;overlay_tab=tags&amp;x1=-346.9&amp;y1=-307.7&amp;x2=1979.1&amp;y2=924.8</t>
  </si>
  <si>
    <t>https://dev.azure.com/BancoPichinchaEC/adi-especificaciones-tecnicas/_git/adi-doc-tecspec-tribu-integracion-apis?path=/sp%20-%20Soporte/tnd-msa-sp-wsclientes0028</t>
  </si>
  <si>
    <t>https://dev.azure.com/BancoPichinchaEC/tpl-bus-omnicanal/_git/sqb-msa-wsclientes0028</t>
  </si>
  <si>
    <t>https://pichincha.atlassian.net/browse/PCBG-475</t>
  </si>
  <si>
    <t>WSClientes0029</t>
  </si>
  <si>
    <t>Actualiza datos demograficos del cliente</t>
  </si>
  <si>
    <t xml:space="preserve">UMPClientes0011 -&gt; ActualizarDatosDemograficos31 -&gt; TX061406 -&gt; Cargar los datos demograficos del cliente en la salida del servicio  </t>
  </si>
  <si>
    <t>2.94k</t>
  </si>
  <si>
    <t>69.8ms</t>
  </si>
  <si>
    <t>ActualizarDatosDemograficos31</t>
  </si>
  <si>
    <t>https://s.icepanel.io/wJSECZOwwNkkW8/Q6FF</t>
  </si>
  <si>
    <t>https://dev.azure.com/BancoPichinchaEC/adi-especificaciones-tecnicas/_git/adi-doc-tecspec-tribu-integracion-apis?path=/sp%20-%20Soporte/tnd-msa-sp-wsclientes0029</t>
  </si>
  <si>
    <t>https://dev.azure.com/BancoPichinchaEC/tpl-bus-omnicanal/_git/sqb-msa-wsclientes0029</t>
  </si>
  <si>
    <t>https://pichincha.atlassian.net/browse/PCBG-476</t>
  </si>
  <si>
    <t>WSClientes0030</t>
  </si>
  <si>
    <t>Consulta contacto Transaccional celular , mail</t>
  </si>
  <si>
    <t>Consume :
  UMPClientes0002  - &gt; Informacion Basica -&gt; TX060480
  UMPClientes0003  -&gt; Consulta Contacto TX -&gt; TX067186 Transaccional
  UMPClientes0028 -&gt; ConsultarIdentificacion01 (CIF x Identificacion) -&gt; "http://datapowerprod.uio.bpichincha.com:7180/IntegrationBus/soap/WSConsultaIdentificacion001" cuando servicio.tipoConsulta = '1'</t>
  </si>
  <si>
    <t>TXT BANCS
BUS SOPORTE -&gt; descartado porq no se ve transaccionalidad</t>
  </si>
  <si>
    <t>240TPM - 
21.6K/Diario</t>
  </si>
  <si>
    <t>ORQClientes0050
ORQProductos1001
ORQProductos0048
ORQTecnicos0002
ORQClientes0004
ORQProductos0042</t>
  </si>
  <si>
    <t>Tribu Negocios digitales
Tribu Canales Digitales</t>
  </si>
  <si>
    <t>ConsultarContactoNotificacion01</t>
  </si>
  <si>
    <t>soloc uando servicio.tipoConsulta = '1' se consume url de bus soporte, se descarta el bus soporte</t>
  </si>
  <si>
    <t>https://s.icepanel.io/wJSECZOwwNkkW8/UdN1</t>
  </si>
  <si>
    <t>https://dev.azure.com/BancoPichinchaEC/adi-especificaciones-tecnicas/_git/adi-doc-tecspec-tribu-integracion-apis?path=/sp%20-%20Soporte/tnd-msa-sp-wsclientes0030</t>
  </si>
  <si>
    <t>https://dev.azure.com/BancoPichinchaEC/tpl-bus-omnicanal/_git/sqb-msa-wsclientes0030</t>
  </si>
  <si>
    <t>Revisar llama a bus soporte</t>
  </si>
  <si>
    <t>WSClientes0037</t>
  </si>
  <si>
    <t>[ConsultarClienteRegistroCivil01]
Servicio para consultar detalle del cliente del registro civil</t>
  </si>
  <si>
    <t xml:space="preserve">	UMPClientes0043 (ConsultarRegistroCivilCliente01) -&gt; WSRegistroCivil002 - Consultar detalle del cliente del registro civil URL WSRegistroCivil002: 	http://datapowertest.bp.bpichincha.com:7180/IntegrationBus/soap/WSRegistroCivil002
	UMPClientes0145 (ConsultarRegistroCivilCodigoDactilar01) -&gt; WSRegistroCivil004 Consultar el Registro Civil del Codigo Dactilar URL WSRegistroCivil004: http://datapowertest.bp.bpichincha.com:7180/IntegrationBus/soap/WSRegistroCivil004</t>
  </si>
  <si>
    <t>BUS SOPORTE -&gt; solo un metodo</t>
  </si>
  <si>
    <t>BDD REGISTRO CIVIL ONPREMISE
ON-PREMISE</t>
  </si>
  <si>
    <t>1.13 s</t>
  </si>
  <si>
    <t>ConsultarClienteRegistroCivil01
ConsultarRegistroCivilCodigoDactilar02 ** deprecado</t>
  </si>
  <si>
    <t>ConsultarRegistroCivilCodigoDactilar02 ** deprecado, el metodo ya no se consume, solo debe migrarse el wsregistrocivil002</t>
  </si>
  <si>
    <t>https://app.icepanel.io/landscapes/w71QNHgfDvF79GrSuA3r/versions/latest/diagrams/editor?diagram=LaJkraN0Q6&amp;model=xxjvq38yeak&amp;overlay_tab=tags&amp;x1=-693.6&amp;y1=-88&amp;x2=2445.7&amp;y2=1520</t>
  </si>
  <si>
    <t>https://dev.azure.com/BancoPichinchaEC/adi-especificaciones-tecnicas/_git/adi-doc-tecspec-tribu-integracion-apis?path=/sp%20-%20Soporte/tnd-msa-sp-wsclientes0037</t>
  </si>
  <si>
    <t>https://dev.azure.com/BancoPichinchaEC/tpl-bus-omnicanal/_git/sqb-msa-wsclientes0037</t>
  </si>
  <si>
    <t>REVISAR VA A BUS SOPORTE</t>
  </si>
  <si>
    <t>WSClientes0038</t>
  </si>
  <si>
    <t>Consultar detalles adicionales y economicos del cliente</t>
  </si>
  <si>
    <t>UMPClientes0020	--&gt; ConsultaInformacionCliente01 --&gt; TX067050 (opc 1, 5, 15, 21)
UMPClientes0061	--&gt; ActualizarInfAdicionalCliente31 --&gt; TX067118
UMPClientes0057	--&gt; ActualizarInformacionCliente31 --&gt; TX067116</t>
  </si>
  <si>
    <t>TXT Bancs</t>
  </si>
  <si>
    <t>268K</t>
  </si>
  <si>
    <t>57ms</t>
  </si>
  <si>
    <t>ORQClientes0071
ORQClientes0048
ORQClientes0008
ORQClientes0017
ORQClientes0016
ORQClientes0019
ORQClientes0035
ORQClientes0036
ORQClientes0054
ORQClientes0038
ORQProductos0019
ORQProductos0068
ORQProductos0064</t>
  </si>
  <si>
    <t>ConsultarDetalleAdicionalesCliente01
OperacionEconomicosCliente52
OperacionEconomicosCliente53</t>
  </si>
  <si>
    <t>https://s.icepanel.io/wJSECZOwwNkkW8/ZZ0C</t>
  </si>
  <si>
    <t>https://dev.azure.com/BancoPichinchaEC/adi-especificaciones-tecnicas/_git/adi-doc-tecspec-tribu-integracion-apis?path=/sp%20-%20Soporte/tnd-msa-sp-wsclientes0038</t>
  </si>
  <si>
    <t>sqb-msa-wsclientes0038 - Repos</t>
  </si>
  <si>
    <t>https://pichincha.atlassian.net/browse/PCBG-389</t>
  </si>
  <si>
    <t>8934 - SOAP</t>
  </si>
  <si>
    <t>Afecta a un servicio</t>
  </si>
  <si>
    <t>WSClientes0046</t>
  </si>
  <si>
    <t>Consulta Cliente Virtual</t>
  </si>
  <si>
    <t>UMPClientes0020 -&gt; ConsultaInformacionCliente01 -&gt; 067050
UMPClientes0029 -&gt; ConsultarInformacionAsesor01 -&gt; 009600</t>
  </si>
  <si>
    <t>TXT BANCS</t>
  </si>
  <si>
    <t>210K</t>
  </si>
  <si>
    <t>25.6 ms</t>
  </si>
  <si>
    <t>Independiente</t>
  </si>
  <si>
    <t>ConsultarClienteVirtual01</t>
  </si>
  <si>
    <t>https://s.icepanel.io/wJSECZOwwNkkW8/1cIC</t>
  </si>
  <si>
    <t>https://dev.azure.com/BancoPichinchaEC/adi-especificaciones-tecnicas/_git/adi-doc-tecspec-tribu-integracion-apis?path=/sp%20-%20Soporte/tnd-msa-sp-wsclientes0046</t>
  </si>
  <si>
    <t>https://dev.azure.com/BancoPichinchaEC/tpl-bus-omnicanal/_git/sqb-msa-wsclientes0046</t>
  </si>
  <si>
    <t>https://pichincha.atlassian.net/browse/PCBG-478</t>
  </si>
  <si>
    <t>WSClientes0055</t>
  </si>
  <si>
    <t>Consulta , Crear , Actualiza la actividad economica de un cliente</t>
  </si>
  <si>
    <t>UMPClientes0069 -&gt; Consulta actividad economica -&gt; TX67196
UMPClientes0066 -&gt; Consulta Correspondencia (localizacion) -&gt; TX062120</t>
  </si>
  <si>
    <t>263TPM - 116K/Diario</t>
  </si>
  <si>
    <t>89ms</t>
  </si>
  <si>
    <t>ORQClientes0071
ORQClientes0048
ORQClientes0063
ORQClientes0038
ORQClientes0016
ORQCLientes0054
ORQClientes0035</t>
  </si>
  <si>
    <t>Tribu Canales Físicos
Tribu Retail
Tribu Negocios digitales</t>
  </si>
  <si>
    <t>OperacionActividadEconomicaCliente51
OperacionActividadEconomicaCliente52</t>
  </si>
  <si>
    <t>https://s.icepanel.io/wJSECZOwwNkkW8/Z5P6</t>
  </si>
  <si>
    <t>https://dev.azure.com/BancoPichinchaEC/adi-especificaciones-tecnicas/_git/adi-doc-tecspec-tribu-integracion-apis?path=/sp%20-%20Soporte/tnd-msa-sp-wsclientes0055</t>
  </si>
  <si>
    <t>https://dev.azure.com/BancoPichinchaEC/tpl-bus-omnicanal/_git/sqb-msa-wsclientes0055</t>
  </si>
  <si>
    <t>https://pichincha.atlassian.net/browse/PCBG-390</t>
  </si>
  <si>
    <t>WSClientes0060</t>
  </si>
  <si>
    <t>tnd-msa-sp-bnc-wsclientes0060</t>
  </si>
  <si>
    <t>Consulta informacion complementaria de un cliente</t>
  </si>
  <si>
    <t>UMPClientes0075 ESQL -&gt; TX067145</t>
  </si>
  <si>
    <t>SOAP -8934</t>
  </si>
  <si>
    <t>100.2K</t>
  </si>
  <si>
    <t>38.3 ms</t>
  </si>
  <si>
    <t>ORQCLIENTES0048
ORQCLIENTES0038
ORQCLIENTES0016
ORQCLIENTES0059</t>
  </si>
  <si>
    <t>Tribu Canales Fisicos
Tribu Retail
BPM</t>
  </si>
  <si>
    <t>OperacionDatosComplementariosCliente51</t>
  </si>
  <si>
    <t>Considerar Existe el servicio en el WAS con el mismo nombre y usan el mismo nombre de ump para bus y was</t>
  </si>
  <si>
    <t>https://s.icepanel.io/wJSECZOwwNkkW8/04F1</t>
  </si>
  <si>
    <t>https://dev.azure.com/BancoPichinchaEC/adi-especificaciones-tecnicas/_git/adi-doc-tecspec-tribu-integracion-apis?version=GBmaster&amp;path=/sp%20-%20Soporte/tnd-msa-sp-bnc-wsclientes0060</t>
  </si>
  <si>
    <t>https://dev.azure.com/BancoPichinchaEC/tpl-bus-omnicanal/_git/sqb-msa-wsclientes0060</t>
  </si>
  <si>
    <t>https://pichincha.atlassian.net/browse/PCBG-391</t>
  </si>
  <si>
    <t>WSClientes0061</t>
  </si>
  <si>
    <t>Obtiene datos demográficos de un cliente</t>
  </si>
  <si>
    <t>UMPClientes0077 --&gt; OperacionDemograficosCliente51 --&gt; TX061406</t>
  </si>
  <si>
    <t>98.8K</t>
  </si>
  <si>
    <t>29ms</t>
  </si>
  <si>
    <t>ORQClientes0048
ORQClientes0054
ORQClientes0035
ORQClientes0016</t>
  </si>
  <si>
    <t>OperacionDemograficosCliente51</t>
  </si>
  <si>
    <t>https://s.icepanel.io/wJSECZOwwNkkW8/oA39</t>
  </si>
  <si>
    <t>https://dev.azure.com/BancoPichinchaEC/adi-especificaciones-tecnicas/_git/adi-doc-tecspec-tribu-integracion-apis?path=/sp%20-%20Soporte/tnd-msa-sp-wsclientes0061</t>
  </si>
  <si>
    <t>sqb-msa-wsclientes0061 - Repos</t>
  </si>
  <si>
    <t>https://pichincha.atlassian.net/browse/PCBG-392</t>
  </si>
  <si>
    <t>WSClientes0062</t>
  </si>
  <si>
    <t>Microservicio que consulta la información básica del cliente</t>
  </si>
  <si>
    <t>UMPClientes0078 -&gt; OperacionIdentificacionCliente51 -&gt; TX067153 -&gt; Consulta información de identificación del cliente</t>
  </si>
  <si>
    <t>424k</t>
  </si>
  <si>
    <t>33.5ms</t>
  </si>
  <si>
    <t>ORQClientes0016
ORQClientes0035
ORQClientes0048
ORQClientes0071
ORQProductos0052</t>
  </si>
  <si>
    <t>OperacionIdentificacionCliente51</t>
  </si>
  <si>
    <t>https://app.icepanel.io/landscapes/w71QNHgfDvF79GrSuA3r/versions/latest/diagrams/editor?diagram=XwmII61i74&amp;model=v3xbgfajwj&amp;overlay_tab=tags&amp;x1=-1207.1&amp;y1=-56&amp;x2=2239.1&amp;y2=1472</t>
  </si>
  <si>
    <t>https://dev.azure.com/BancoPichinchaEC/adi-especificaciones-tecnicas/_git/adi-doc-tecspec-tribu-integracion-apis?path=/sp%20-%20Soporte/tnd-msa-sp-wsclientes0062</t>
  </si>
  <si>
    <t>https://dev.azure.com/BancoPichinchaEC/tpl-bus-omnicanal/_git/sqb-msa-wsclientes0062</t>
  </si>
  <si>
    <t>https://pichincha.atlassian.net/browse/PCBG-393</t>
  </si>
  <si>
    <t>WSClientes0063</t>
  </si>
  <si>
    <t xml:space="preserve">Consulta , Crear , Actualiza la referencias de un cliente </t>
  </si>
  <si>
    <t>UMPClientes0067 ESQL -&gt; 67216 -&gt; 67217</t>
  </si>
  <si>
    <t>200Mensual</t>
  </si>
  <si>
    <t>60ms</t>
  </si>
  <si>
    <t>OperacionReferenciasCliente51</t>
  </si>
  <si>
    <t>https://s.icepanel.io/wJSECZOwwNkkW8/X6Zx</t>
  </si>
  <si>
    <t>https://dev.azure.com/BancoPichinchaEC/adi-especificaciones-tecnicas/_git/adi-doc-tecspec-tribu-integracion-apis?path=/sp%20-%20Soporte/tnd-msa-sp-wsclientes0063</t>
  </si>
  <si>
    <t>https://dev.azure.com/BancoPichinchaEC/tpl-bus-omnicanal/_git/sqb-msa-wsclientes0063</t>
  </si>
  <si>
    <t>https://pichincha.atlassian.net/browse/PCBG-479</t>
  </si>
  <si>
    <t>WSClientes0067</t>
  </si>
  <si>
    <t>Consultar las cuentas de un cliente.</t>
  </si>
  <si>
    <t>UMPClientes0082 --&gt; ConsultarCuentasClientes01 --&gt; TX060453
UMPClientes0082 --&gt; ConsultarCuentasClientes01 --&gt; TX060452</t>
  </si>
  <si>
    <t>141.8K</t>
  </si>
  <si>
    <t>43ms</t>
  </si>
  <si>
    <t>TRIBU EMPRESAS
TRIBU PRODUCTOS
TRIBU MEDIOS DE PAGO</t>
  </si>
  <si>
    <t>ORQClientes0017
ORQClientes0048
ORQClientes0053
ORQProductos0062
ORQClientes0065.API - /api/v1/InformacionProductos/ConsultarInformacionProductos01
WSClientes0179.API - /api/v1/ValidarCuentas/ValidarCuentas01
bbe-msa-bs-investment - /business/business-banking/v1/investments
cta-msa-customers - /getCustomerAccounts
trv-msa-sp-customer-account - /support/transversales/v1/customer-accounts
crd-msa-account-integration - /findAccounts
tdd-msa-bs-customer-account - /business/tarjetas-de-debito/v1/customer-accounts
tre-msa-account - /api/v1/retail/tre-msa-account/accounts</t>
  </si>
  <si>
    <t>BIZAGI_IAAS
https://autogestiontd.bpichincha.com/</t>
  </si>
  <si>
    <t>ConsultarCuentasClientes01</t>
  </si>
  <si>
    <t>https://s.icepanel.io/wJSECZOwwNkkW8/9teK</t>
  </si>
  <si>
    <t>https://dev.azure.com/BancoPichinchaEC/adi-especificaciones-tecnicas/_git/adi-doc-tecspec-tribu-integracion-apis?path=/sp%20-%20Soporte/tnd-msa-sp-wsclientes0067</t>
  </si>
  <si>
    <t>sqb-msa-wsclientes0067 - Repos</t>
  </si>
  <si>
    <t>https://pichincha.atlassian.net/browse/PCBG-394</t>
  </si>
  <si>
    <t>WSClientes0071</t>
  </si>
  <si>
    <t>Actualiza datos de bienes económicos del cliente</t>
  </si>
  <si>
    <t>UMPClientes0016 --&gt; ActualizarDatosBienes31 --&gt; TX067050 (opc 20)
UMPClientes0016 --&gt; ActualizarDatosBienes31 --&gt; TX067118</t>
  </si>
  <si>
    <t>34ms</t>
  </si>
  <si>
    <t>AsignarInformacionBienes01</t>
  </si>
  <si>
    <t>https://s.icepanel.io/wJSECZOwwNkkW8/O8qO</t>
  </si>
  <si>
    <t>https://dev.azure.com/BancoPichinchaEC/adi-especificaciones-tecnicas/_git/adi-doc-tecspec-tribu-integracion-apis?path=/sp%20-%20Soporte/tnd-msa-sp-wsclientes0071</t>
  </si>
  <si>
    <t>sqb-msa-wsclientes0071 - Repos</t>
  </si>
  <si>
    <t>https://pichincha.atlassian.net/browse/PCBG-480</t>
  </si>
  <si>
    <t>WSClientes0072</t>
  </si>
  <si>
    <t xml:space="preserve">Consulta informacion economica del cliente basica del cliente </t>
  </si>
  <si>
    <t>UMPClientes0017 -&gt; Servicio de consulta de detalle adicionales del clientes
TX067218 -&gt; Retorna cantidad  contatos tiene para esa referencias
TX067210 -&gt; obtiene las referencia exacta 
Orquesta las transacciones de referencias.
TX067212 opc 1 -&gt;
TX067215 opc 2 -&gt; 
TX067214 opc 3 -&gt;
TX067216 opc 4 -&gt;
TX067217 opc 5 -&gt;
TX067213 opc 6 -&gt;
TX067211 opc 7 -&gt;</t>
  </si>
  <si>
    <t>145 ms</t>
  </si>
  <si>
    <t>ORQClientes0019
ORQClientes0038
ORQClientes0048</t>
  </si>
  <si>
    <t>ActualizarDatosReferencias31</t>
  </si>
  <si>
    <t>Validar las descripciones de las tx.</t>
  </si>
  <si>
    <t>https://s.icepanel.io/wJSECZOwwNkkW8/sjJK</t>
  </si>
  <si>
    <t>https://dev.azure.com/BancoPichinchaEC/adi-especificaciones-tecnicas/_git/adi-doc-tecspec-tribu-integracion-apis?path=/sp%20-%20Soporte/tnd-msa-sp-wsclientes0072</t>
  </si>
  <si>
    <t>sqb-msa-wsclientes0072 - Repos</t>
  </si>
  <si>
    <t>https://pichincha.atlassian.net/browse/PCBG-395</t>
  </si>
  <si>
    <t>WSClientes0074</t>
  </si>
  <si>
    <t>Consulta informacion economica basica del cliente.</t>
  </si>
  <si>
    <t>UMPClientes0019 -&gt; ActualizarDatosActividadEconomica31 -&gt; TX067196 -&gt; TX062120 -&gt; Consulta actividad económica del cliente</t>
  </si>
  <si>
    <t>1,144K</t>
  </si>
  <si>
    <t>51.1ms</t>
  </si>
  <si>
    <t>ActualizarDatosActividadEconomica31</t>
  </si>
  <si>
    <t>https://app.icepanel.io/landscapes/w71QNHgfDvF79GrSuA3r/versions/latest/diagrams/editor?diagram=fIFTG1H5Gh&amp;model=RhYlSxnwCl&amp;overlay_tab=tags&amp;x1=-665.6&amp;y1=-56&amp;x2=2491.9&amp;y2=1344</t>
  </si>
  <si>
    <t>https://dev.azure.com/BancoPichinchaEC/adi-especificaciones-tecnicas/_git/adi-doc-tecspec-tribu-integracion-apis?path=/sp%20-%20Soporte/tnd-msa-sp-wsclientes0074</t>
  </si>
  <si>
    <t>https://dev.azure.com/BancoPichinchaEC/tpl-bus-omnicanal/_git/sqb-msa-wsclientes0074</t>
  </si>
  <si>
    <t>https://pichincha.atlassian.net/browse/PCBG-481</t>
  </si>
  <si>
    <t>WSClientes0075</t>
  </si>
  <si>
    <t>Consulta el detalle corto de una cuenta del cliente</t>
  </si>
  <si>
    <t>UMPProductos0007 -&gt; ConsultarDetalleCortoCuenta01 -&gt; TX000400 -&gt; Consulta el detalle corto de una cuenta del cliente</t>
  </si>
  <si>
    <t>37k</t>
  </si>
  <si>
    <t>29.7ms</t>
  </si>
  <si>
    <t>Default Web Site:443,8043 (/BPMPichinchaAD)</t>
  </si>
  <si>
    <t>ConsultarSaldosCuenta01</t>
  </si>
  <si>
    <t>https://app.icepanel.io/landscapes/w71QNHgfDvF79GrSuA3r/versions/latest/diagrams/editor?diagram=FQF00gICx0&amp;model=ffdxmqzw1dp&amp;overlay_tab=tags&amp;x1=-1170&amp;y1=-56&amp;x2=2186&amp;y2=1432</t>
  </si>
  <si>
    <t>https://dev.azure.com/BancoPichinchaEC/adi-especificaciones-tecnicas/_git/adi-doc-tecspec-tribu-integracion-apis?path=/sp%20-%20Soporte/tpr-msa-sp-wsclientes0075</t>
  </si>
  <si>
    <t>https://dev.azure.com/BancoPichinchaEC/tpl-bus-omnicanal/_git/sqb-msa-wsclientes0075</t>
  </si>
  <si>
    <t>https://pichincha.atlassian.net/browse/PCBG-482</t>
  </si>
  <si>
    <t>WSClientes0077</t>
  </si>
  <si>
    <t>Consulta basica clientes</t>
  </si>
  <si>
    <t>UMPClientes0020-&gt; ConsultaInformacionCliente01-&gt; TX067050-&gt; Consulta información basica del cliente</t>
  </si>
  <si>
    <t>143.2K</t>
  </si>
  <si>
    <t>54.5ms</t>
  </si>
  <si>
    <t>ORQClientes0071
ORQClientes0029
ORQClientes0064.API;deployment-bmn-msa-bs-orqclientes*-*</t>
  </si>
  <si>
    <t>ConsultarDatoBasicoCliente01</t>
  </si>
  <si>
    <t>https://s.icepanel.io/wJSECZOwwNkkW8/J3jw</t>
  </si>
  <si>
    <t>https://dev.azure.com/BancoPichinchaEC/adi-especificaciones-tecnicas/_git/adi-doc-tecspec-tribu-integracion-apis?path=/sp%20-%20Soporte/tnd-msa-sp-wsclientes0077</t>
  </si>
  <si>
    <t>https://dev.azure.com/BancoPichinchaEC/tpl-bus-omnicanal/_git/sqb-msa-wsclientes0077</t>
  </si>
  <si>
    <t>https://pichincha.atlassian.net/browse/PCBG-396</t>
  </si>
  <si>
    <t>WSClientes0078</t>
  </si>
  <si>
    <t>Consulta la información de un cliente SAR</t>
  </si>
  <si>
    <t>UMPClientes0023 -&gt; ConsultarClientesSar -&gt; http://10.60.144.57:9443/clientesSARWS/ClienteSARWSService</t>
  </si>
  <si>
    <t>Was Internexo</t>
  </si>
  <si>
    <t>SOAP - 8934
REST - 8937</t>
  </si>
  <si>
    <t>19.4k</t>
  </si>
  <si>
    <t>33.1ms</t>
  </si>
  <si>
    <t>ORQClientes0023
ORQClientes0029
ORQClientes0064.API;deployment-bmn-msa-bs-orqclientes*-*</t>
  </si>
  <si>
    <t>consultarClienteSAR</t>
  </si>
  <si>
    <t>https://s.icepanel.io/wJSECZOwwNkkW8/DIza</t>
  </si>
  <si>
    <t>https://dev.azure.com/BancoPichinchaEC/adi-especificaciones-tecnicas/_git/adi-doc-tecspec-tribu-integracion-apis?path=/sp%20-%20Soporte/tpr-msa-sp-wsclientes0078</t>
  </si>
  <si>
    <t>https://dev.azure.com/BancoPichinchaEC/tpl-bus-omnicanal/_git/sqb-msa-wsclientes0078</t>
  </si>
  <si>
    <t>Revisar consume was internexo</t>
  </si>
  <si>
    <t>WSClientes0080</t>
  </si>
  <si>
    <t>Consulta garantias SAR del cliente</t>
  </si>
  <si>
    <t>UMPClientes0085 -&gt; ConsultarGarantiasSAR01 -&gt; http://10.60.144.57:9443/consultaGarantiasSARWS/GarantiasSARWSService</t>
  </si>
  <si>
    <t>Was intenerxo
TXT BANCS</t>
  </si>
  <si>
    <t>2.94K</t>
  </si>
  <si>
    <t>84.3 ms</t>
  </si>
  <si>
    <t>ConsultarGarantiasSAR01</t>
  </si>
  <si>
    <t>https://s.icepanel.io/wJSECZOwwNkkW8/EtER</t>
  </si>
  <si>
    <t>https://dev.azure.com/BancoPichinchaEC/adi-especificaciones-tecnicas/_git/adi-doc-tecspec-tribu-integracion-apis?version=GBmaster&amp;path=/sp%20-%20Soporte/tpr-msa-sp-wsclientes0080</t>
  </si>
  <si>
    <t>https://dev.azure.com/BancoPichinchaEC/tpl-bus-omnicanal/_git/sqb-msa-wsclientes0080</t>
  </si>
  <si>
    <t>WSClientes0081</t>
  </si>
  <si>
    <t>Consulta las firmas autorizadas de un cliente -cuenta</t>
  </si>
  <si>
    <t>UMPProductos0028-&gt;ConsultarCuentas0028-&gt;TX060457</t>
  </si>
  <si>
    <t>12k/Diario</t>
  </si>
  <si>
    <t>50ms</t>
  </si>
  <si>
    <t>BPM
Tribu Retail</t>
  </si>
  <si>
    <t>ConsultarCuentasFirmaAutorizada01</t>
  </si>
  <si>
    <t>https://s.icepanel.io/wJSECZOwwNkkW8/Rdmx</t>
  </si>
  <si>
    <t>https://dev.azure.com/BancoPichinchaEC/adi-especificaciones-tecnicas/_git/adi-doc-tecspec-tribu-integracion-apis?path=/sp%20-%20Soporte/tnd-msa-sp-wsclientes0081</t>
  </si>
  <si>
    <t>https://dev.azure.com/BancoPichinchaEC/tpl-bus-omnicanal/_git/sqb-msa-wsclientes0081</t>
  </si>
  <si>
    <t>https://pichincha.atlassian.net/browse/PCBG-484</t>
  </si>
  <si>
    <t>WSClientes0082</t>
  </si>
  <si>
    <t xml:space="preserve"> Servicio de consulta de productos del cliente</t>
  </si>
  <si>
    <t xml:space="preserve">UMPProductos0021 (ConsultarCuentas21) -&gt; Consulta de Cuentas del cliente en Bancs
TX060453 -&gt;
TX060452 -&gt; TX de consulta cuentas en Bancs
</t>
  </si>
  <si>
    <t>24.6K</t>
  </si>
  <si>
    <t>37.9 ms</t>
  </si>
  <si>
    <t>ORQClientes0024
ORQClientes0025
ORQClientes0026</t>
  </si>
  <si>
    <t>ConsultarCuentasTipoEstado01</t>
  </si>
  <si>
    <t>Uso de servicio Configurable en WS y Ump</t>
  </si>
  <si>
    <t>https://s.icepanel.io/wJSECZOwwNkkW8/AHFQ</t>
  </si>
  <si>
    <t>https://dev.azure.com/BancoPichinchaEC/adi-especificaciones-tecnicas/_git/adi-doc-tecspec-tribu-integracion-apis?path=/sp%20-%20Soporte/tnd-msa-sp-wsclientes0082</t>
  </si>
  <si>
    <t>sqb-msa-wsclientes0082 - Repos</t>
  </si>
  <si>
    <t>https://pichincha.atlassian.net/browse/PCBG-398</t>
  </si>
  <si>
    <t>WSClientes0096</t>
  </si>
  <si>
    <t>Procedimiento que realiza la operacion de creacion de prospecto del cliente</t>
  </si>
  <si>
    <t>UMPClientes0098 -&gt; 062001</t>
  </si>
  <si>
    <t>144 ms</t>
  </si>
  <si>
    <t>CustoimerController → 
   - ach-msa-customer
     - ExpressApplicationController
          - ach-msa-mortgage-back
            - Netty
                 - ach-msa-bff-loan-application
ORQClientes0035</t>
  </si>
  <si>
    <t>CrearProspecto21</t>
  </si>
  <si>
    <t>https://dev.azure.com/BancoPichinchaEC/tpl-bus-omnicanal/_git/sqb-msa-wsclientes0096</t>
  </si>
  <si>
    <t>https://dev.azure.com/BancoPichinchaEC/adi-especificaciones-tecnicas/_git/adi-doc-tecspec-tribu-integracion-apis?path=/sp%20-%20Soporte/tnd-msa-sp-wsclientes0096</t>
  </si>
  <si>
    <t>https://pichincha.atlassian.net/browse/PCBG-743</t>
  </si>
  <si>
    <t>WSClientes0099</t>
  </si>
  <si>
    <t>Permite actualizar la información de localización de un cliente en Bancs</t>
  </si>
  <si>
    <t xml:space="preserve">	UMPClientes0064 (OperacionLocalizacion51) : Consulta la localizacion de un cliente -&gt;  TX061404  - Consulta la direccion de un cliente
	UMPClientes0065 - OperacionGeolocalizacion51 - TX062130 - Consulta la geolocalizacion de un cliente</t>
  </si>
  <si>
    <t>100k</t>
  </si>
  <si>
    <t>68.5 ms</t>
  </si>
  <si>
    <t>ORQClientes0016
ORQClientes0035
ORQClientes0038
ORQClientes0048
ORQClientes0054
ORQProductos0068
ORQProductos0072</t>
  </si>
  <si>
    <t>Default Web Site:443,8043 (/BPMPichinchaOC)</t>
  </si>
  <si>
    <t>OperacionLocalizacion51</t>
  </si>
  <si>
    <t>https://app.icepanel.io/landscapes/w71QNHgfDvF79GrSuA3r/versions/latest/diagrams/editor?diagram=QVLh3yXSvL&amp;model=e9y69eff6aw&amp;overlay_tab=tags&amp;x1=-804.7&amp;y1=-344&amp;x2=2381.5&amp;y2=1288</t>
  </si>
  <si>
    <t>https://dev.azure.com/BancoPichinchaEC/adi-especificaciones-tecnicas/_git/adi-doc-tecspec-tribu-integracion-apis?path=/sp%20-%20Soporte/tnd-msa-sp-wsclientes0099</t>
  </si>
  <si>
    <t>https://dev.azure.com/BancoPichinchaEC/tpl-bus-omnicanal/_git/sqb-msa-wsclientes0099</t>
  </si>
  <si>
    <t>https://pichincha.atlassian.net/browse/PCBG-399</t>
  </si>
  <si>
    <t>WSClientes0101</t>
  </si>
  <si>
    <t xml:space="preserve">Obtiene informacion de relacion del cliente
</t>
  </si>
  <si>
    <t>UMPClientes0076 -&gt; OperacionInformacionComplementariaRelaciones51 -&gt; 067151 -&gt; Consultar informacion complementaria de referencia del cliente</t>
  </si>
  <si>
    <t>88.2K</t>
  </si>
  <si>
    <t>27.3ms</t>
  </si>
  <si>
    <t>TRIBU CANALES
TRIBU PRODUCTOS
AREA MICROFINANZAS
COE_TRANSFORMACION_PROCESOS</t>
  </si>
  <si>
    <t>ORQClientes0035
ORQClientes0036
ORQClientes0038
ORQClientes0048
ORQClientes0059</t>
  </si>
  <si>
    <t>OperacionRelacionesCliente51</t>
  </si>
  <si>
    <t>https://s.icepanel.io/wJSECZOwwNkkW8/xPql</t>
  </si>
  <si>
    <t>https://dev.azure.com/BancoPichinchaEC/adi-especificaciones-tecnicas/_git/adi-doc-tecspec-tribu-integracion-apis?path=/sp%20-%20Soporte/tnd-msa-sp-wsclientes0101</t>
  </si>
  <si>
    <t>https://dev.azure.com/BancoPichinchaEC/tpl-bus-omnicanal/_git/sqb-msa-wsclientes0101</t>
  </si>
  <si>
    <t>https://pichincha.atlassian.net/browse/PCBG-400</t>
  </si>
  <si>
    <t>WSClientes0102</t>
  </si>
  <si>
    <t>Segmenta al cliente</t>
  </si>
  <si>
    <t>UMPClientes0103 -&gt; SegmentacionEntradaFija01-&gt; Segmenta al cliente -&gt; 
http://10.0.134.224/WebSrvSegmentacion/ServiceSegmentacion.asmx</t>
  </si>
  <si>
    <t>WEBSERVICE ANTIGUO</t>
  </si>
  <si>
    <t>0.036k</t>
  </si>
  <si>
    <t>1140ms</t>
  </si>
  <si>
    <t>SegmentacionEntradaFija01</t>
  </si>
  <si>
    <t>https://app.icepanel.io/landscapes/w71QNHgfDvF79GrSuA3r/versions/latest/diagrams/editor?diagram=TL4LSX3Rai&amp;model=DzImGA4TxF&amp;overlay_tab=tags&amp;x1=-1164.9&amp;y1=-56&amp;x2=2100.9&amp;y2=1392</t>
  </si>
  <si>
    <t>https://dev.azure.com/BancoPichinchaEC/adi-especificaciones-tecnicas/_git/adi-doc-tecspec-tribu-integracion-apis?path=/sp%20-%20Soporte/tnd-msa-sp-wsclientes0102</t>
  </si>
  <si>
    <t>https://dev.azure.com/BancoPichinchaEC/tpl-bus-omnicanal/_git/sqb-msa-wsclientes0102</t>
  </si>
  <si>
    <t>arle doble check</t>
  </si>
  <si>
    <t>WSClientes0103</t>
  </si>
  <si>
    <t>Servicio que permite actualizar la informacion de un cliente</t>
  </si>
  <si>
    <t>umpclientes0102 -&gt; Actualizacion del cliente en bancs
TX067510 -&gt; Procedimiento que realiza la operacion de actualizacion del cliente</t>
  </si>
  <si>
    <t>2.48k</t>
  </si>
  <si>
    <t>83.2 ms</t>
  </si>
  <si>
    <t>ActualizarInformacionCliente31</t>
  </si>
  <si>
    <t>https://app.icepanel.io/landscapes/w71QNHgfDvF79GrSuA3r/versions/latest/diagrams/editor?diagram=lqKeQ1cgD9&amp;model=fyjGEaNzjk&amp;overlay_tab=tags&amp;x1=-790.4&amp;y1=-24&amp;x2=2380.2&amp;y2=1600</t>
  </si>
  <si>
    <t>https://dev.azure.com/BancoPichinchaEC/adi-especificaciones-tecnicas/_git/adi-doc-tecspec-tribu-integracion-apis?path=/sp%20-%20Soporte/tnd-msa-sp-wsclientes0103</t>
  </si>
  <si>
    <t>https://dev.azure.com/BancoPichinchaEC/tpl-bus-omnicanal/_git/sqb-msa-wsclientes0103</t>
  </si>
  <si>
    <t>https://pichincha.atlassian.net/browse/PCBG-487</t>
  </si>
  <si>
    <t>WSClientes0104</t>
  </si>
  <si>
    <t>Crea Prospecto Cliente</t>
  </si>
  <si>
    <t>UMPClientes0109 -&gt;  crearProspectoCliente22 -&gt; 062001
UMPClientes0117 -&gt; actualizarCliente36 -&gt; 067159</t>
  </si>
  <si>
    <t>2.82K</t>
  </si>
  <si>
    <t>286 ms</t>
  </si>
  <si>
    <t>crearProspectoCliente21</t>
  </si>
  <si>
    <t>https://s.icepanel.io/wJSECZOwwNkkW8/O5Tt</t>
  </si>
  <si>
    <t>https://dev.azure.com/BancoPichinchaEC/adi-especificaciones-tecnicas/_git/adi-doc-tecspec-tribu-integracion-apis?version=GBmaster&amp;path=/sp%20-%20Soporte/tnd-msa-sp-wsclientes0104</t>
  </si>
  <si>
    <t>https://dev.azure.com/BancoPichinchaEC/tpl-bus-omnicanal/_git/sqb-msa-wsclientes0104</t>
  </si>
  <si>
    <t>https://pichincha.atlassian.net/browse/PCBG-488</t>
  </si>
  <si>
    <t>WSClientes0108</t>
  </si>
  <si>
    <t>Creacion de Clientes</t>
  </si>
  <si>
    <t xml:space="preserve">UMPClientes0110-&gt;crearDetallesCliente21-&gt;consultarDetallesClienteTX67050()  OP1 ,067000
UMPClientes0111-&gt;crearDetallePersonalesCliente21-&gt; TX067050 OP5, 067101 
UMPClientes0112-&gt;crearDetallesAdicionalesCliente21-&gt; crearDetallesAdicionalesCliente21 TX067050op21 , ConsultarDetallesAdi TX67050 
UMPClientes0013-&gt;ActualizarDatosIdentificacion31-&gt;  Consultar informacion de identificacion del cliente  ConsultarTX067153 ,Modificar TX067153OP02 ,ConsultarTX067050OP21 ,ActualizarTX067116( )
UMPClientes0066-&gt; OperacionCorrespondenciaLocalizacion51 , Consulta correspondencia 062120 </t>
  </si>
  <si>
    <t>1.3k/Diario</t>
  </si>
  <si>
    <t>280ms</t>
  </si>
  <si>
    <t>Tribu Retail</t>
  </si>
  <si>
    <t>crearCliente24</t>
  </si>
  <si>
    <t>https://s.icepanel.io/wJSECZOwwNkkW8/Jruh</t>
  </si>
  <si>
    <t>https://dev.azure.com/BancoPichinchaEC/adi-especificaciones-tecnicas/_git/adi-doc-tecspec-tribu-integracion-apis?path=/sp%20-%20Soporte/tnd-msa-sp-wsclientes0108</t>
  </si>
  <si>
    <t>https://dev.azure.com/BancoPichinchaEC/tpl-bus-omnicanal/_git/sqb-msa-wsclientes0108</t>
  </si>
  <si>
    <t>https://pichincha.atlassian.net/browse/PCBG-489</t>
  </si>
  <si>
    <t>WSClientes0111</t>
  </si>
  <si>
    <t>Microservicio que permite consultar, actualizar y crear datos de residencia fiscal de un cliente</t>
  </si>
  <si>
    <t xml:space="preserve">UMPClientes0119 -&gt; ActualizarResidenciaFiscal32 -&gt; TX062123 -&gt; Actualiza los datos de recidencia fiscal: DETALLE RESIDENCIA FISCAL y DETALLE ACCIONISTA.
UMPClientes0002 -&gt; ConsultarInformacionBasica01 -&gt; TX060480 -&gt; Consulta datos de contacto para cliente de BEP e información básica
UMPClientes0142 -&gt; ConsultarResidenciaFiscalIdentificacion01 -&gt; TX062124 -&gt; Consultar los datos de residencia fiscal por el tipo de identificación y la identificación 
UMPClientes0020 -&gt; ConsultaInformacionCliente01 -&gt; TX067050 -&gt; Consulta información basica del cliente
UMPClientes0116 -&gt; CrearResidenciaFiscal23 -&gt; TX062123 -&gt; Crear los datos de recidencia fiscal por el CustId, Opt y AddrInstance: DETALLE RESIDENCIA FISCAL y DETALLE ACCIONISTA. </t>
  </si>
  <si>
    <t>SOAP - 8934
REST -8912</t>
  </si>
  <si>
    <t>118,20K</t>
  </si>
  <si>
    <t>45.1ms</t>
  </si>
  <si>
    <t>TRIBU PRODUCTOS
TRIBU CANALES
*TRIBU SEGMENTOS Y NEGOCIOS DIGITALES*</t>
  </si>
  <si>
    <t>Netty on 0:0:0:0:0:0:0:0:*; onb-msa-tax-residence
Netty on 0:0:0:0:0:0:0:0:*; deployment-one-msa-sp-customer-v*
ORQClientes0040
ORQClientes0045
ORQProductos0065
ORQProductos1002
ResidenciaFiscalController; deployment-cta-msa-residencia-fiscal-*
https://serviciosexternos.pichincha.com/api/ResidenciaFiscal</t>
  </si>
  <si>
    <t>Default Web Site:443,8043 (/BPMPichinchaCTA)
Default Web Site:443,8043 (/BPMPichinchaSG)
Default Web Site:8080,8443 (/Nxt_4.0.9168.396)
IAutomatizacionProcesosServices
https://serviciosexternos.pichincha.com/api/ResidenciaFiscal</t>
  </si>
  <si>
    <t>ActualizarResidenciaFiscal32
ConsultarInformacionBasica01
ConsultarResidenciaFiscalIdentificacion01
ConsultaInformacionCliente01
CrearResidenciaFiscal23</t>
  </si>
  <si>
    <t>Considerar que el servicio se va a reutilizar por temas regulatorios. Coordinar pruebas con Carolina Campuzano/ Enrique Marquez
El microservicio se está consumiendo por datapower externo usando la url https://serviciosexternos.pichincha.com/api/ResidenciaFiscal</t>
  </si>
  <si>
    <t>https://app.icepanel.io/landscapes/w71QNHgfDvF79GrSuA3r/versions/latest/diagrams/editor?diagram=rwZXVIVRx1&amp;model=j4cx7gpdiv8&amp;overlay_tab=tags&amp;x1=-1551.4&amp;y1=-232&amp;x2=2183.4&amp;y2=1424</t>
  </si>
  <si>
    <t>https://dev.azure.com/BancoPichinchaEC/adi-especificaciones-tecnicas/_git/adi-doc-tecspec-tribu-integracion-apis?path=/sp%20-%20Soporte/tnd-msa-sp-wsclientes0111</t>
  </si>
  <si>
    <t>https://dev.azure.com/BancoPichinchaEC/tpl-bus-omnicanal/_git/sqb-msa-wsclientes0111</t>
  </si>
  <si>
    <t>https://pichincha.atlassian.net/browse/PCBG-401</t>
  </si>
  <si>
    <t>WSClientes0114</t>
  </si>
  <si>
    <t>Servicio que consulta cuentas activas del cliente incluyendo cupo por canal.</t>
  </si>
  <si>
    <t>UMPProductos0049 --&gt; ConsultarPosicionConsolidadaCliente01 --&gt; TX060450
UMPProductos0033 --&gt; ConsultarCondicionFirma01 --&gt; TX064014
UMPProductos0005 --&gt; ConsultarCanalTransaccionCuenta01 --&gt; TX079007
UMPClientes0002 --&gt; ConsultarInformacionBasica01 --&gt; TX060480
UMPProductos0001 --&gt; ConsultarCuentas01 --&gt; TX060453
UMPProductos0001 --&gt; ConsultarCuentas01 --&gt; TX060452</t>
  </si>
  <si>
    <t>5.62M</t>
  </si>
  <si>
    <t>80ms</t>
  </si>
  <si>
    <t>ORQClientes0003
ORQClientes0007
WSClientes0179.API - /api/v1/ValidarCuentas/ValidarCuentas01</t>
  </si>
  <si>
    <t>ConsultaCuentasCliente02
ConsultarCuentasActivasCliente01</t>
  </si>
  <si>
    <t>https://s.icepanel.io/wJSECZOwwNkkW8/UC2g</t>
  </si>
  <si>
    <t>https://dev.azure.com/BancoPichinchaEC/adi-especificaciones-tecnicas/_git/adi-doc-tecspec-tribu-integracion-apis?path=/sp%20-%20Soporte/tnd-msa-sp-wsclientes0114</t>
  </si>
  <si>
    <t>sqb-msa-wsclientes0114 - Repos</t>
  </si>
  <si>
    <t>https://pichincha.atlassian.net/browse/PCBG-402</t>
  </si>
  <si>
    <t>25ms</t>
  </si>
  <si>
    <t>WSClientes0122</t>
  </si>
  <si>
    <t>Servicio que consulta las relaciones asociadas a un cliente como garantes, codeudores, etc.</t>
  </si>
  <si>
    <t>UMPClientes0177 --&gt; ConsultaRelacionesCliente04 --&gt; TX060430</t>
  </si>
  <si>
    <t>26ms</t>
  </si>
  <si>
    <t>ConsultarRelacionesCliente01
ModificarRelacionCliente33</t>
  </si>
  <si>
    <t>https://s.icepanel.io/wJSECZOwwNkkW8/DDBi</t>
  </si>
  <si>
    <t>https://dev.azure.com/BancoPichinchaEC/adi-especificaciones-tecnicas/_git/adi-doc-tecspec-tribu-integracion-apis?path=/sp%20-%20Soporte/tnd-msa-sp-wsclientes0122</t>
  </si>
  <si>
    <t>sqb-msa-wsclientes0122 - Repos</t>
  </si>
  <si>
    <t>https://pichincha.atlassian.net/browse/PCBG-490</t>
  </si>
  <si>
    <t>WSClientes0153</t>
  </si>
  <si>
    <t>Consulta y Actualiza detalles adicionales del cliente en Bancs</t>
  </si>
  <si>
    <t>UMPClientes0020 --&gt; ConsultaInformacionCliente01 --&gt; TX067050 opc 21
UMPClientes0180 --&gt; ProcesarDatosAdicionalesCliente53 --&gt; TX067116</t>
  </si>
  <si>
    <t>30ms</t>
  </si>
  <si>
    <t>ConsultarDatosAdicionalesCliente01
ProcesarDatosAdicionalesCliente52</t>
  </si>
  <si>
    <t>https://s.icepanel.io/wJSECZOwwNkkW8/3UvV</t>
  </si>
  <si>
    <t>https://dev.azure.com/BancoPichinchaEC/adi-especificaciones-tecnicas/_git/adi-doc-tecspec-tribu-integracion-apis?path=/sp%20-%20Soporte/tnd-msa-sp-wsclientes0153</t>
  </si>
  <si>
    <t>sqb-msa-wsclientes0153 - Repos</t>
  </si>
  <si>
    <t>https://pichincha.atlassian.net/browse/PCBG-491</t>
  </si>
  <si>
    <t>WSClientes0156</t>
  </si>
  <si>
    <t>Actualiza Oficial Cliente - PCBG-492</t>
  </si>
  <si>
    <t>UMPClientes0057 -&gt; ActualizarInformacionCliente31 -&gt; 067116</t>
  </si>
  <si>
    <t>1.096K</t>
  </si>
  <si>
    <t>30.3 ms</t>
  </si>
  <si>
    <t>https://s.icepanel.io/wJSECZOwwNkkW8/IHiD</t>
  </si>
  <si>
    <t>https://dev.azure.com/BancoPichinchaEC/adi-especificaciones-tecnicas/_git/adi-doc-tecspec-tribu-integracion-apis?path=/sp%20-%20Soporte/tnd-msa-sp-wsclientes0156</t>
  </si>
  <si>
    <t>https://dev.azure.com/BancoPichinchaEC/tpl-bus-omnicanal/_git/sqb-msa-wsclientes0156</t>
  </si>
  <si>
    <t>https://pichincha.atlassian.net/browse/PCBG-492</t>
  </si>
  <si>
    <t>WSProductos0009</t>
  </si>
  <si>
    <t xml:space="preserve">Actualiza el monto maximo de transferencias </t>
  </si>
  <si>
    <t xml:space="preserve">UMPProductos0013 -&gt;   ActivarCupoCuentaTransferencia51  007070(Activa) 007071 (Procesa TX Salida ),
UMPProductos0005 -&gt; ConsultarCanalTransaccionCuenta01 , ConsultarTX060665()
</t>
  </si>
  <si>
    <t>SOAP , REST</t>
  </si>
  <si>
    <t>30K</t>
  </si>
  <si>
    <t>123ms</t>
  </si>
  <si>
    <t xml:space="preserve">ORQProductos0040
ORQClientes0007
</t>
  </si>
  <si>
    <t xml:space="preserve">Tribu Retail
Tribu Canales Digitales
COE Seguridad
</t>
  </si>
  <si>
    <t>onb-msa-sp-setting-channel</t>
  </si>
  <si>
    <t>ActualizarMontoTransferenciaCuenta31</t>
  </si>
  <si>
    <t>https://s.icepanel.io/wJSECZOwwNkkW8/b9xY</t>
  </si>
  <si>
    <t>https://dev.azure.com/BancoPichinchaEC/adi-especificaciones-tecnicas/_git/adi-doc-tecspec-tribu-integracion-apis?path=/sp%20-%20Soporte/tct-msa-sp-wsproductos0009</t>
  </si>
  <si>
    <t>https://dev.azure.com/BancoPichinchaEC/tpl-bus-omnicanal/_git/sqb-msa-wsproductos0009</t>
  </si>
  <si>
    <t>https://pichincha.atlassian.net/browse/PCBG-493</t>
  </si>
  <si>
    <t>WSProductos0016</t>
  </si>
  <si>
    <t>Consulta y ata cotitulares a la cuenta de un cliente</t>
  </si>
  <si>
    <t>UMPProductos0036 --&gt; ConsultarCotitularesCuenta01 --&gt; TX 060602
UMPProductos0042 --&gt; AtarCotitularesCuenta21 --&gt; TX 060605</t>
  </si>
  <si>
    <t>40ms</t>
  </si>
  <si>
    <t>ORQProductos0074
ORQProductos0003
ORQClientes0024</t>
  </si>
  <si>
    <t>ConsultarCotitularesCuenta02
AtarCotitularesCuenta21</t>
  </si>
  <si>
    <t>https://s.icepanel.io/wJSECZOwwNkkW8/5ZQY</t>
  </si>
  <si>
    <t>https://dev.azure.com/BancoPichinchaEC/adi-especificaciones-tecnicas/_git/adi-doc-tecspec-tribu-integracion-apis?path=/sp%20-%20Soporte/tpr-msa-sp-wsproductos0016</t>
  </si>
  <si>
    <t>sqb-msa-wsproductos0016 - Repos</t>
  </si>
  <si>
    <t>11ms</t>
  </si>
  <si>
    <t>WSProductos0130</t>
  </si>
  <si>
    <t xml:space="preserve">Movimientos de cuenta </t>
  </si>
  <si>
    <t xml:space="preserve">UMPProductos0173 -&gt; ConsultarConsolidadoMovimientosCuenta01 -&gt; TX007075()
</t>
  </si>
  <si>
    <t>850/Diarios</t>
  </si>
  <si>
    <t>150 ms</t>
  </si>
  <si>
    <t>BPM
Tribu Retail,</t>
  </si>
  <si>
    <t>ConsultarConsolidadoMovimientosCuenta01</t>
  </si>
  <si>
    <t>https://s.icepanel.io/wJSECZOwwNkkW8/onY2</t>
  </si>
  <si>
    <t>https://dev.azure.com/BancoPichinchaEC/adi-especificaciones-tecnicas/_git/adi-doc-tecspec-tribu-integracion-apis?path=/sp%20-%20Soporte/tpr-msa-sp-wsproductos0130</t>
  </si>
  <si>
    <t>https://dev.azure.com/BancoPichinchaEC/tpl-bus-omnicanal/_git/sqb-msa-wsproductos0130</t>
  </si>
  <si>
    <t>https://pichincha.atlassian.net/browse/PCBG-495</t>
  </si>
  <si>
    <t>WSProductos0189</t>
  </si>
  <si>
    <t>Consulta de retenciones judiciales</t>
  </si>
  <si>
    <t>UMPProductos0070 --&gt; ConsultarRetencionesJudiciales01 --&gt; TX067225
UMPProductos0223 --&gt; ConsultarRetencionJudicialPorCuenta02 --&gt; TX067228</t>
  </si>
  <si>
    <t>8.46k</t>
  </si>
  <si>
    <t>consultarRetencionJudicialId01
consultarRetencionJudicialCuenta02</t>
  </si>
  <si>
    <t>https://s.icepanel.io/wJSECZOwwNkkW8/RS68</t>
  </si>
  <si>
    <t>https://dev.azure.com/BancoPichinchaEC/adi-especificaciones-tecnicas/_git/adi-doc-tecspec-tribu-integracion-apis?path=/sp%20-%20Soporte/tnd-msa-sp-wsproductos0189</t>
  </si>
  <si>
    <t>sqb-msa-wsproductos0189 - Repos</t>
  </si>
  <si>
    <t>https://pichincha.atlassian.net/browse/PCBG-496</t>
  </si>
  <si>
    <t>52ms</t>
  </si>
  <si>
    <t>WSReglas0004</t>
  </si>
  <si>
    <t>Consulta regla de seguridad de ODM para delay</t>
  </si>
  <si>
    <t>ODM --&gt; /DecisionService/ws/DespliegueTecnicosDelay/OperacionTecnicosDelay/v75</t>
  </si>
  <si>
    <t>ODM</t>
  </si>
  <si>
    <t>4.8K</t>
  </si>
  <si>
    <t>21.2 ms</t>
  </si>
  <si>
    <t>ConsultarTransaccionDelay01</t>
  </si>
  <si>
    <t>En un inicio este servicio era utilizado para consulta de acciones de seguridad como el tiempo de espera, en servicios como transferencias directas o interbancarias, pero al momento solo se encuentra en uso por el servicio de actualización de contacto transaccional</t>
  </si>
  <si>
    <t>https://s.icepanel.io/wJSECZOwwNkkW8/9kNS</t>
  </si>
  <si>
    <t>https://dev.azure.com/BancoPichinchaEC/adi-especificaciones-tecnicas/_git/adi-doc-tecspec-tribu-integracion-apis?version=GBmaster&amp;path=/sp%20-%20Soporte/csg-msa-sp-wsreglas0004</t>
  </si>
  <si>
    <t>https://dev.azure.com/BancoPichinchaEC/tpl-bus-omnicanal/_git/sqb-msa-wsreglas0004</t>
  </si>
  <si>
    <t>https://pichincha.atlassian.net/browse/PCBG-497</t>
  </si>
  <si>
    <t>WSReglas0010</t>
  </si>
  <si>
    <t>Consulta regla de seguridad de ODM No financiera que  verifica segundo factor de auntenticación</t>
  </si>
  <si>
    <t>UMPSeguridad0085 - (consultarDispositivosDetectId01): Consultar validacion detectId en Cyxtera - URL Externa Auth Service (https://detectidtest.uio.bpichincha.com/detect/services/WSDetectMobileAuthService) 
- Consultar validacion detectId en Cyxtera.
/DecisionService/ws/DespliegueSeguridadTransaccionNoFinanciera/OperacionConsultarSeguridadTransaccionNoFinanciera/v75 on port 80
WSTecnicos0003</t>
  </si>
  <si>
    <t>detect id
ODM
WAS</t>
  </si>
  <si>
    <t xml:space="preserve">Almacena información de backend en cache / cargaFuente en * para rx y tx </t>
  </si>
  <si>
    <t xml:space="preserve">206001001.xml
</t>
  </si>
  <si>
    <t>240K</t>
  </si>
  <si>
    <t>15.8ms</t>
  </si>
  <si>
    <t>ORQClientes0050
ORQClientes0072
ORQPagos0009     
ORQProductos0014
ORQProductos0015
ORQProductos0036
ORQProductos0037 
ORQProductos0038 
ORQProductos0040
ORQSeguridad0024</t>
  </si>
  <si>
    <t>URL Externa Auth Service (https://detectidtest.uio.bpichincha.com/detect/services/WSDetectMobileAuthService)</t>
  </si>
  <si>
    <t>ConsultarSeguridadNoFinanciero01</t>
  </si>
  <si>
    <t>https://app.icepanel.io/landscapes/w71QNHgfDvF79GrSuA3r/versions/latest/diagrams/editor?diagram=jr6tBcvecA&amp;model=rtMNNqSS3M&amp;overlay_tab=tags&amp;x1=-778.8&amp;y1=-192&amp;x2=2501.1&amp;y2=1488</t>
  </si>
  <si>
    <t>https://dev.azure.com/BancoPichinchaEC/adi-especificaciones-tecnicas/_git/adi-doc-tecspec-tribu-integracion-apis?path=/sp%20-%20Soporte/mdw-msa-sp-wsreglas0010</t>
  </si>
  <si>
    <t>https://dev.azure.com/BancoPichinchaEC/tpl-bus-omnicanal/_git/sqb-msa-wsreglas0010</t>
  </si>
  <si>
    <t>https://pichincha.atlassian.net/browse/PCBG-403</t>
  </si>
  <si>
    <t>WSSeguridad0067</t>
  </si>
  <si>
    <t>Consultar validacion detectId en Cyxtera</t>
  </si>
  <si>
    <t>UMPSeguridad0085 -&gt; consultarDispositivosDetectId01 -&gt; https://detectidtest.uio.bpichincha.com/detect/services/WSDetectMobileAuthService</t>
  </si>
  <si>
    <t>detect id</t>
  </si>
  <si>
    <t>308k</t>
  </si>
  <si>
    <t>54.4ms</t>
  </si>
  <si>
    <t>ORQClientes0037
ORQSeguridad0004
ORQTecnicos0002</t>
  </si>
  <si>
    <t>consultarDispositivosDetectId01</t>
  </si>
  <si>
    <t>https://s.icepanel.io/wJSECZOwwNkkW8/EGwZ</t>
  </si>
  <si>
    <t>https://dev.azure.com/BancoPichinchaEC/adi-especificaciones-tecnicas/_git/adi-doc-tecspec-tribu-integracion-apis?path=/sp%20-%20Soporte/csg-msa-sp-wsseguridad0067</t>
  </si>
  <si>
    <t>https://dev.azure.com/BancoPichinchaEC/tpl-bus-omnicanal/_git/sqb-msa-wsseguridad0067</t>
  </si>
  <si>
    <t>https://pichincha.atlassian.net/browse/PCBG-498</t>
  </si>
  <si>
    <t>WSTecnicos0027</t>
  </si>
  <si>
    <t>Servicio que permite el envio y validación del segundo factor de autenticación OTP</t>
  </si>
  <si>
    <t>UMPClientes0002 --&gt; ConsultarInformacionBasica01 --&gt; TX060480
UMPClientes0003 --&gt; ConsultarContactoNotificacion01 --&gt;  TX067186
UMPTecnicos0002 --&gt;  GestionarOTPInterdin51 --&gt; IntegracionWSBotonPagoOTP
UMPTecnicos0088 --&gt;  GenerarOTP57 --&gt; NotifierWSWrapper
UMPTecnicos0026 --&gt; GenerarOTP51 --&gt; NotifierWSWrapper
UMPTecnicos0027 --&gt; EvaluarOTP51 --&gt;  OTPEvaluator
UMPClientes0035 --&gt; ConsultarMedioNotificacionCliente01 --&gt; WSTecnicos0039
UMPSeguridad0084 --&gt; consultarValidateDetectId01 --&gt; WSEasysolToken
UMPSeguridad0085 --&gt; consultarDispositivosDetectId01 --&gt; WSDetectMobileAuthService</t>
  </si>
  <si>
    <t xml:space="preserve">TXT Bancs
INTERDIN
WAS INTERNEXO
DetectId
WAS OMNICANALIDAD
</t>
  </si>
  <si>
    <t>Transforma y cifra datos para llamado a los diferentes backend WS externos, utiliza librería KriptoTools para cifrado</t>
  </si>
  <si>
    <t>persistencia catalogo de propiedades de OTP y softoken en cache Shared Row</t>
  </si>
  <si>
    <r>
      <rPr>
        <sz val="11"/>
        <color rgb="FF000000"/>
        <rFont val="Calibri"/>
        <family val="2"/>
        <scheme val="minor"/>
      </rPr>
      <t xml:space="preserve">Se carga archivo de propiedades de conexióna a Interdin </t>
    </r>
    <r>
      <rPr>
        <b/>
        <sz val="11"/>
        <color rgb="FF000000"/>
        <rFont val="Calibri"/>
        <family val="2"/>
        <scheme val="minor"/>
      </rPr>
      <t xml:space="preserve">P103000251 </t>
    </r>
    <r>
      <rPr>
        <sz val="11"/>
        <color rgb="FF000000"/>
        <rFont val="Calibri"/>
        <family val="2"/>
        <scheme val="minor"/>
      </rPr>
      <t xml:space="preserve">de la ruta </t>
    </r>
    <r>
      <rPr>
        <b/>
        <sz val="11"/>
        <color rgb="FF000000"/>
        <rFont val="Calibri"/>
        <family val="2"/>
        <scheme val="minor"/>
      </rPr>
      <t>/etc/IntegrationBus/procesamiento</t>
    </r>
  </si>
  <si>
    <t>196,6k</t>
  </si>
  <si>
    <t>TRIBU MEDIOS DE PAGO
TRIBU PRODUCTOS
TRIBU CANALES
TRIBU EMPRESAS</t>
  </si>
  <si>
    <t>ORQClientes0050
ORQClientes0072
ORQProductos2001
ORQProductos0036
ORQProductos0037
ORQProductos0038
ORQProductos0040
ORQProductos1001
ORQProductos0015
ORQProductos1002
ORQTecnicos0003
ORQClientes0078.API - /api/v1/Otp/GenerarOTP01
ORQClientes0078.API - /api/v1/Otp/ValidarOTP10
WSProductos0184.API - /api/v1/clients/{account}/accounts/8388/cashwithdrawal
ORQTransferencias1005.API - /api/v1/TransferenciasDirectas/EjecutarTransferenciaDirecta15
ORQTransferencias1016.API - /api/v1/TransferenciasInterbancarias/EjecutarTransferenciaInterbancarias11
cta-otp-core - generateOtp
cta-otp-core - validateOtp
tcp-tcs-otp - /v1/otp/generate
tcp-tcs-otp - /v1/otp/validate
tre-msa-otp - generateOtpV2
tre-msa-otp-integration - validateOtp
tre-msa-otp-integration - generateOtp
one-msa-sp-otp-validation - /support/bpone/v1/otp-validation
cnb-msa-ob-prcm-financial-transaction - /financial-transactions/withdrawals
crd-msa-otp-integration - /api/v1/credit/precise/otp-integration/send
crd-msa-otp-integration - /api/v1/credit/precise/otp-integration/validate
bbe-msa-sp-one-time-password - /support/bussines-banking/v1/one-time-passwords/generate
bbe-msa-sp-one-time-password - /support/bussines-banking/v1/one-time-passwords/validate
omn-msa-detectid-validate - generateSecondFactor
omn-msa-detectid-validate - validateSecondFactor
omn-msa-detectid-validate - generate
omn-msa-detectid-validate - validate</t>
  </si>
  <si>
    <t>Interdin
DetectID</t>
  </si>
  <si>
    <t>EvaluarOTP52
EvaluarOTP54
GenerarOTP51
GenerarOTP53
GenerarOTP57
GenerarOTPInterdin55
ValidarOTPInterdin56</t>
  </si>
  <si>
    <t>https://s.icepanel.io/wJSECZOwwNkkW8/SWDZ</t>
  </si>
  <si>
    <t>https://dev.azure.com/BancoPichinchaEC/adi-especificaciones-tecnicas/_git/adi-doc-tecspec-tribu-integracion-apis?path=/sp%20-%20Soporte/csg-msa-sp-wstecnicos0027</t>
  </si>
  <si>
    <t>sqb-msa-wstecnicos0027 - Repos</t>
  </si>
  <si>
    <t>onsume was internexo servicios notificador, 
interdindetecId</t>
  </si>
  <si>
    <t>TRIBU ADMINISTRACION DE CREDITO
TRIBU CANALES
TRIBU EMPRESAS
TRIBU MEDIOS DE PAGO
TRIBU PRODUCTOS
TRIBU SEGMENTOS Y NEGOCIOS DIGITALES
AREA MICROFINANZAS
COE CIBERSEGURIDAD
TRIBU AREAS DE APOYO
AREA REMESAS
TRIBU CORES Y TRANSACCIONES
COE DE TRANSFORMACIÓN DE PROCESOS Y AUTOMATIZACION
CASH MANAGEMENT
TRIBU INTEGRACIONES Y APIS
TRIBU_DE_UNA</t>
  </si>
  <si>
    <t>WSTecnicos0078</t>
  </si>
  <si>
    <t>Servicio para el envio y validación de OTP. envio de notificación con adjunto.</t>
  </si>
  <si>
    <t>UMPTecnicos0085 --&gt; EnvioNotificacionAdjunto52 --&gt; WSNotificadorMSG002
UMPTecnicos0092 --&gt; EnvioOTP21 --&gt; NotifierWSWrapper -&gt; http://notificadormsg_f5.uio.bpichincha.com:9443/NotifierWSWrapper/OTPGeneratorWrapperService
UMPTecnicos0089 --&gt; ValidarOTP54 --&gt; OTPEvaluator -&gt; http://notificadormsg_f5.uio.bpichincha.com:9443/OTPEvaluator/OTPEvaluatorService</t>
  </si>
  <si>
    <t xml:space="preserve">BUS Soporte
WAS Notifier
</t>
  </si>
  <si>
    <t>8934 - SOAP
8931 - SOAP</t>
  </si>
  <si>
    <t>6.42K</t>
  </si>
  <si>
    <t>95.1ms</t>
  </si>
  <si>
    <t>ORQClientes0040
ORQClientes0045
WSProductos0155Request.WSProductos0155Port</t>
  </si>
  <si>
    <t>Default Web Site:443,8043 (/BPMPichinchaCTA)</t>
  </si>
  <si>
    <t>EnvioNotificacionAdjunto52
EnvioOTP21
ValidarOTP54</t>
  </si>
  <si>
    <t>https://s.icepanel.io/wJSECZOwwNkkW8/7Pt5</t>
  </si>
  <si>
    <t>https://dev.azure.com/BancoPichinchaEC/adi-especificaciones-tecnicas/_git/adi-doc-tecspec-tribu-integracion-apis?path=/sp%20-%20Soporte/csg-msa-sp-wstecnicos0078</t>
  </si>
  <si>
    <t>sqb-msa-wstecnicos0078 - Repos</t>
  </si>
  <si>
    <t>https://pichincha.atlassian.net/browse/PCBG-405</t>
  </si>
  <si>
    <t>WSClientes0002</t>
  </si>
  <si>
    <t>Servicio que consulta información de créditos activos</t>
  </si>
  <si>
    <r>
      <rPr>
        <sz val="9"/>
        <color rgb="FF000000"/>
        <rFont val="Calibri"/>
        <family val="2"/>
      </rPr>
      <t xml:space="preserve">UMPClientes0006 --&gt; ConsultaPrestamos -&gt; jndi.sar.creditos
		</t>
    </r>
    <r>
      <rPr>
        <b/>
        <sz val="9"/>
        <color rgb="FF000000"/>
        <rFont val="Calibri"/>
        <family val="2"/>
      </rPr>
      <t>BDD</t>
    </r>
    <r>
      <rPr>
        <sz val="9"/>
        <color rgb="FF000000"/>
        <rFont val="Calibri"/>
        <family val="2"/>
      </rPr>
      <t xml:space="preserve">: PPRD
		</t>
    </r>
    <r>
      <rPr>
        <b/>
        <sz val="9"/>
        <color rgb="FF000000"/>
        <rFont val="Calibri"/>
        <family val="2"/>
      </rPr>
      <t>ESQUEMA</t>
    </r>
    <r>
      <rPr>
        <sz val="9"/>
        <color rgb="FF000000"/>
        <rFont val="Calibri"/>
        <family val="2"/>
      </rPr>
      <t xml:space="preserve">: Riesgo
		</t>
    </r>
    <r>
      <rPr>
        <b/>
        <sz val="9"/>
        <color rgb="FF000000"/>
        <rFont val="Calibri"/>
        <family val="2"/>
      </rPr>
      <t>PACKAGE</t>
    </r>
    <r>
      <rPr>
        <sz val="9"/>
        <color rgb="FF000000"/>
        <rFont val="Calibri"/>
        <family val="2"/>
      </rPr>
      <t xml:space="preserve">: pkg_rgs_posicionglobal_omni
		</t>
    </r>
    <r>
      <rPr>
        <b/>
        <sz val="9"/>
        <color rgb="FF000000"/>
        <rFont val="Calibri"/>
        <family val="2"/>
      </rPr>
      <t>SP</t>
    </r>
    <r>
      <rPr>
        <sz val="9"/>
        <color rgb="FF000000"/>
        <rFont val="Calibri"/>
        <family val="2"/>
      </rPr>
      <t xml:space="preserve">: prc_posconsolidadaactivo_pos
PROD
BDD PPRD
HOST = siglo-scan
PORT = 10521
TEST
BDD DTST
HOST = siglo-tst-scan.uio.bpichincha.com
PORT = 10521
</t>
    </r>
  </si>
  <si>
    <t>BDD SIGLO PPRD</t>
  </si>
  <si>
    <t xml:space="preserve">persistencia objetos BDD </t>
  </si>
  <si>
    <t>4.59M</t>
  </si>
  <si>
    <t>8ms</t>
  </si>
  <si>
    <t>ORQClientes0003
ORQClientes0017
ORQClientes0065.API - /api/v1/InformacionProductos/ConsultarInformacionProductos01
ORQProductos0073</t>
  </si>
  <si>
    <t>consultarPrestamosActivos01</t>
  </si>
  <si>
    <t>https://s.icepanel.io/wJSECZOwwNkkW8/5VY3</t>
  </si>
  <si>
    <t>https://dev.azure.com/BancoPichinchaEC/adi-especificaciones-tecnicas/_git/adi-doc-tecspec-tribu-integracion-apis?path=/sp%20-%20Soporte/tpr-msa-sp-wsclientes0002</t>
  </si>
  <si>
    <t>ws-wsclientes0002-was - Repos</t>
  </si>
  <si>
    <t>https://pichincha.atlassian.net/browse/PCBG-406</t>
  </si>
  <si>
    <t>WSProductos0023</t>
  </si>
  <si>
    <t>Consultar Configuracion de Producto</t>
  </si>
  <si>
    <r>
      <rPr>
        <sz val="11"/>
        <color rgb="FF000000"/>
        <rFont val="Calibri"/>
        <family val="2"/>
        <scheme val="minor"/>
      </rPr>
      <t xml:space="preserve">umpproductos0047 -&gt; consultarConfiguracionProducto -&gt; </t>
    </r>
    <r>
      <rPr>
        <sz val="11"/>
        <color rgb="FFFF0000"/>
        <rFont val="Calibri"/>
        <family val="2"/>
        <scheme val="minor"/>
      </rPr>
      <t xml:space="preserve">jndi.tecnicos.cataloga
</t>
    </r>
    <r>
      <rPr>
        <sz val="11"/>
        <color rgb="FF000000"/>
        <rFont val="Calibri"/>
        <family val="2"/>
        <scheme val="minor"/>
      </rPr>
      <t>/apps/proy/OMNICANALIDAD_SERVICIOS/xml/AtributosProducto.xml</t>
    </r>
  </si>
  <si>
    <t>BDD PPOMNICA</t>
  </si>
  <si>
    <t>elorqclientes0003 lo consume y la mayoria de backend son onpremise
ON-PREMISE</t>
  </si>
  <si>
    <t>10.8M</t>
  </si>
  <si>
    <t>4.03 ms</t>
  </si>
  <si>
    <t>"TRIBU MEDIOS DE PAGO
TRIBU EMPRESAS
TRIBU PRODUCTOS
TRIBU CANALES
COE_TRANSFORMACION_PROCESOS"</t>
  </si>
  <si>
    <t>ORQClientes0003
ORQProductos0002
ORQProductos0040</t>
  </si>
  <si>
    <t>ConsultarConfiguracionProducto01</t>
  </si>
  <si>
    <t>Utiliza /apps/proy/OMNICANALIDAD_SERVICIOS/xml/AtributosProducto.xml</t>
  </si>
  <si>
    <t>https://s.icepanel.io/wJSECZOwwNkkW8/QaSN</t>
  </si>
  <si>
    <t>https://dev.azure.com/BancoPichinchaEC/adi-especificaciones-tecnicas/_git/adi-doc-tecspec-tribu-integracion-apis?path=/sp%20-%20Soporte/tpr-msa-sp-wsproductos0023</t>
  </si>
  <si>
    <t>https://dev.azure.com/BancoPichinchaEC/tpl-bus-omnicanal/_git/sqb-msa-wsproductos0023</t>
  </si>
  <si>
    <t>https://pichincha.atlassian.net/browse/PCBG-499</t>
  </si>
  <si>
    <t>WSProductos0024</t>
  </si>
  <si>
    <t>Gestiona alias de productos de cliente</t>
  </si>
  <si>
    <r>
      <rPr>
        <sz val="9"/>
        <color rgb="FF000000"/>
        <rFont val="Calibri"/>
        <family val="2"/>
      </rPr>
      <t xml:space="preserve">UMPProductos0030 --&gt; ConsultaDescripcionProducto02 -&gt; jndi.productos.productos
	</t>
    </r>
    <r>
      <rPr>
        <b/>
        <sz val="9"/>
        <color rgb="FF000000"/>
        <rFont val="Calibri"/>
        <family val="2"/>
      </rPr>
      <t xml:space="preserve">BDD: </t>
    </r>
    <r>
      <rPr>
        <sz val="9"/>
        <color rgb="FF000000"/>
        <rFont val="Calibri"/>
        <family val="2"/>
      </rPr>
      <t xml:space="preserve">PPOMNICA
	</t>
    </r>
    <r>
      <rPr>
        <b/>
        <sz val="9"/>
        <color rgb="FF000000"/>
        <rFont val="Calibri"/>
        <family val="2"/>
      </rPr>
      <t>ESQUEMA:</t>
    </r>
    <r>
      <rPr>
        <sz val="9"/>
        <color rgb="FF000000"/>
        <rFont val="Calibri"/>
        <family val="2"/>
      </rPr>
      <t xml:space="preserve"> PRODUCTOS
	</t>
    </r>
    <r>
      <rPr>
        <b/>
        <sz val="9"/>
        <color rgb="FF000000"/>
        <rFont val="Calibri"/>
        <family val="2"/>
      </rPr>
      <t>TABLA:</t>
    </r>
    <r>
      <rPr>
        <sz val="9"/>
        <color rgb="FF000000"/>
        <rFont val="Calibri"/>
        <family val="2"/>
      </rPr>
      <t xml:space="preserve"> OMN_PRO_PRODUCTO_CLIENTE
UMPProductos0031 --&gt; ConsultaDescripcionTodosProductos01
	</t>
    </r>
    <r>
      <rPr>
        <b/>
        <sz val="9"/>
        <color rgb="FF000000"/>
        <rFont val="Calibri"/>
        <family val="2"/>
      </rPr>
      <t xml:space="preserve">BDD: </t>
    </r>
    <r>
      <rPr>
        <sz val="9"/>
        <color rgb="FF000000"/>
        <rFont val="Calibri"/>
        <family val="2"/>
      </rPr>
      <t xml:space="preserve">PPOMNICA
</t>
    </r>
    <r>
      <rPr>
        <b/>
        <sz val="9"/>
        <color rgb="FF000000"/>
        <rFont val="Calibri"/>
        <family val="2"/>
      </rPr>
      <t xml:space="preserve">	ESQUEMA:</t>
    </r>
    <r>
      <rPr>
        <sz val="9"/>
        <color rgb="FF000000"/>
        <rFont val="Calibri"/>
        <family val="2"/>
      </rPr>
      <t xml:space="preserve"> PRODUCTOS
</t>
    </r>
    <r>
      <rPr>
        <b/>
        <sz val="9"/>
        <color rgb="FF000000"/>
        <rFont val="Calibri"/>
        <family val="2"/>
      </rPr>
      <t xml:space="preserve">	TABLA: </t>
    </r>
    <r>
      <rPr>
        <sz val="9"/>
        <color rgb="FF000000"/>
        <rFont val="Calibri"/>
        <family val="2"/>
      </rPr>
      <t xml:space="preserve">OMN_PRO_PRODUCTO_CLIENTE	
UMPProductos0046 --&gt; RegistrarListaDescripcionProductos51
	</t>
    </r>
    <r>
      <rPr>
        <b/>
        <sz val="9"/>
        <color rgb="FF000000"/>
        <rFont val="Calibri"/>
        <family val="2"/>
      </rPr>
      <t>BDD:</t>
    </r>
    <r>
      <rPr>
        <sz val="9"/>
        <color rgb="FF000000"/>
        <rFont val="Calibri"/>
        <family val="2"/>
      </rPr>
      <t xml:space="preserve"> PPOMNICA
	</t>
    </r>
    <r>
      <rPr>
        <b/>
        <sz val="9"/>
        <color rgb="FF000000"/>
        <rFont val="Calibri"/>
        <family val="2"/>
      </rPr>
      <t>ESQUEMA:</t>
    </r>
    <r>
      <rPr>
        <sz val="9"/>
        <color rgb="FF000000"/>
        <rFont val="Calibri"/>
        <family val="2"/>
      </rPr>
      <t xml:space="preserve"> PRODUCTOS
	</t>
    </r>
    <r>
      <rPr>
        <b/>
        <sz val="9"/>
        <color rgb="FF000000"/>
        <rFont val="Calibri"/>
        <family val="2"/>
      </rPr>
      <t>TABLA:</t>
    </r>
    <r>
      <rPr>
        <sz val="9"/>
        <color rgb="FF000000"/>
        <rFont val="Calibri"/>
        <family val="2"/>
      </rPr>
      <t xml:space="preserve"> OMN_PRO_PRODUCTO_CLIENTE	
UMPTecnicos0010 --&gt; ConsultarCatalogosServicio -&gt; jndi.xa.tecnicos.cataloga
	</t>
    </r>
    <r>
      <rPr>
        <b/>
        <sz val="9"/>
        <color rgb="FF000000"/>
        <rFont val="Calibri"/>
        <family val="2"/>
      </rPr>
      <t xml:space="preserve">BDD: </t>
    </r>
    <r>
      <rPr>
        <sz val="9"/>
        <color rgb="FF000000"/>
        <rFont val="Calibri"/>
        <family val="2"/>
      </rPr>
      <t xml:space="preserve">PPOMNICA
	</t>
    </r>
    <r>
      <rPr>
        <b/>
        <sz val="9"/>
        <color rgb="FF000000"/>
        <rFont val="Calibri"/>
        <family val="2"/>
      </rPr>
      <t>ESQUEMA:</t>
    </r>
    <r>
      <rPr>
        <sz val="9"/>
        <color rgb="FF000000"/>
        <rFont val="Calibri"/>
        <family val="2"/>
      </rPr>
      <t xml:space="preserve"> CATALOGA
	</t>
    </r>
    <r>
      <rPr>
        <b/>
        <sz val="9"/>
        <color rgb="FF000000"/>
        <rFont val="Calibri"/>
        <family val="2"/>
      </rPr>
      <t>TABLA:</t>
    </r>
    <r>
      <rPr>
        <sz val="9"/>
        <color rgb="FF000000"/>
        <rFont val="Calibri"/>
        <family val="2"/>
      </rPr>
      <t xml:space="preserve"> OMN_CAT_DETALLE
MSTecnicos0040 --&gt; RGuardarCatalogoDetalle
	</t>
    </r>
    <r>
      <rPr>
        <b/>
        <sz val="9"/>
        <color rgb="FF000000"/>
        <rFont val="Calibri"/>
        <family val="2"/>
      </rPr>
      <t>BDD</t>
    </r>
    <r>
      <rPr>
        <sz val="9"/>
        <color rgb="FF000000"/>
        <rFont val="Calibri"/>
        <family val="2"/>
      </rPr>
      <t xml:space="preserve">: PPOMNICA
	</t>
    </r>
    <r>
      <rPr>
        <b/>
        <sz val="9"/>
        <color rgb="FF000000"/>
        <rFont val="Calibri"/>
        <family val="2"/>
      </rPr>
      <t>ESQUEMA:</t>
    </r>
    <r>
      <rPr>
        <sz val="9"/>
        <color rgb="FF000000"/>
        <rFont val="Calibri"/>
        <family val="2"/>
      </rPr>
      <t xml:space="preserve"> CATALOGA
	</t>
    </r>
    <r>
      <rPr>
        <b/>
        <sz val="9"/>
        <color rgb="FF000000"/>
        <rFont val="Calibri"/>
        <family val="2"/>
      </rPr>
      <t xml:space="preserve">TABLA: </t>
    </r>
    <r>
      <rPr>
        <sz val="9"/>
        <color rgb="FF000000"/>
        <rFont val="Calibri"/>
        <family val="2"/>
      </rPr>
      <t>OMN_CAT_DETALLE
PROD
BDD PPOMNICA
HOST = omni-scan
PORT = 10521
TEST
BDD TPOMN
HOST = omni-tst-scan.uio.bpichincha.com
PORT = 10521</t>
    </r>
  </si>
  <si>
    <t>Persiste datos de catalogo maestro-detalle en cache</t>
  </si>
  <si>
    <t>PPOMNICA.CATALOGA.OMN_CAT_MAESTRO
PPOMNICA.CATALOGA.OMN_CAT_DETALLE</t>
  </si>
  <si>
    <t>4.74M</t>
  </si>
  <si>
    <t>ORQClientes0003
ORQProductos0002
ORQProductos0040
tre-msa-savings-account
tre-msa-account - /api/v1/retail/tre-msa-account/accounts
tre-msa-savings-account - /api/v1/retail/savings-account/SavingsAccount/Initiate</t>
  </si>
  <si>
    <t>ConsultarDescripcionProducto02
ConsultarDescripcionTodosProductos01
RegistrarListaDescripcionProductos51</t>
  </si>
  <si>
    <t>https://s.icepanel.io/wJSECZOwwNkkW8/6RQX</t>
  </si>
  <si>
    <t>https://dev.azure.com/BancoPichinchaEC/adi-especificaciones-tecnicas/_git/adi-doc-tecspec-tribu-integracion-apis?path=/sp%20-%20Soporte/tpr-msa-sp-wsproductos0024</t>
  </si>
  <si>
    <t>ws-WSProductos0024-was - Repos</t>
  </si>
  <si>
    <t>https://pichincha.atlassian.net/browse/PCBG-500</t>
  </si>
  <si>
    <t>BDD CREDIFE</t>
  </si>
  <si>
    <t>WSProductos0082</t>
  </si>
  <si>
    <t>Servicio para insertar las tramas de Buro y posicion consolidada en BDD SFI</t>
  </si>
  <si>
    <t>JDNI: jndi.sfi
Metodo 1: insertarTramaBuroSFI01
umpproductos0104 -&gt; Insertar las tramas de Buro en SFI.
Store Procedure : CFE_GRABABURO_MVL
Metodo 2: insertarTramaPosicionConsolidadSFI22
umpproductos0251 -&gt; Insertar las tramas de Posicion Consolidada en SFI.
Store Procedure: CFE_GRABAPOSICIONCONSOLIDADA_MVL</t>
  </si>
  <si>
    <r>
      <rPr>
        <sz val="11"/>
        <color rgb="FF000000"/>
        <rFont val="Calibri"/>
        <family val="2"/>
        <scheme val="minor"/>
      </rPr>
      <t xml:space="preserve">
</t>
    </r>
    <r>
      <rPr>
        <sz val="11"/>
        <color rgb="FF000000"/>
        <rFont val="Calibri"/>
        <family val="2"/>
        <scheme val="minor"/>
      </rPr>
      <t xml:space="preserve">
BDD: CREDIFE
</t>
    </r>
  </si>
  <si>
    <t>SOAP-8934</t>
  </si>
  <si>
    <t>Manejo de persistencia</t>
  </si>
  <si>
    <t>19k</t>
  </si>
  <si>
    <t>24.5ms</t>
  </si>
  <si>
    <t>ORQClientes0017
ORQProductos0045</t>
  </si>
  <si>
    <t>insertarTramaBuroSFI01
insertarTramaPosicionConsolidadSFI22</t>
  </si>
  <si>
    <t>uso de properties</t>
  </si>
  <si>
    <t>https://app.icepanel.io/landscapes/w71QNHgfDvF79GrSuA3r/versions/latest/diagrams/editor?diagram=ofxwoWFjeC&amp;model=m4WANZhjgx&amp;overlay_tab=tags&amp;x1=-510.5&amp;y1=-56&amp;x2=2316.5&amp;y2=1392</t>
  </si>
  <si>
    <t>https://dev.azure.com/BancoPichinchaEC/adi-especificaciones-tecnicas/_git/adi-doc-tecspec-tribu-integracion-apis?path=/sp%20-%20Soporte/tpr-msa-sp-wsproductos0082</t>
  </si>
  <si>
    <t>https://dev.azure.com/BancoPichinchaEC/tpl-integration-services-was/_git/ws-wsproductos0082-was</t>
  </si>
  <si>
    <t>https://pichincha.atlassian.net/browse/PCBG-501</t>
  </si>
  <si>
    <t>WSProductos0118</t>
  </si>
  <si>
    <t>Consulta y actualiza cliente en base interdin local</t>
  </si>
  <si>
    <r>
      <t xml:space="preserve">UMPProductos0135 --&gt; ClienteInterdin
	</t>
    </r>
    <r>
      <rPr>
        <b/>
        <sz val="9"/>
        <color rgb="FF000000"/>
        <rFont val="Calibri"/>
        <family val="2"/>
      </rPr>
      <t>BDD</t>
    </r>
    <r>
      <rPr>
        <sz val="9"/>
        <color rgb="FF000000"/>
        <rFont val="Calibri"/>
        <family val="2"/>
      </rPr>
      <t xml:space="preserve">: PPOMNICA
</t>
    </r>
    <r>
      <rPr>
        <b/>
        <sz val="9"/>
        <color rgb="FF000000"/>
        <rFont val="Calibri"/>
        <family val="2"/>
      </rPr>
      <t xml:space="preserve">	ESQUEMA:</t>
    </r>
    <r>
      <rPr>
        <sz val="9"/>
        <color rgb="FF000000"/>
        <rFont val="Calibri"/>
        <family val="2"/>
      </rPr>
      <t xml:space="preserve"> PRODUCTOS
</t>
    </r>
    <r>
      <rPr>
        <b/>
        <sz val="9"/>
        <color rgb="FF000000"/>
        <rFont val="Calibri"/>
        <family val="2"/>
      </rPr>
      <t xml:space="preserve">	TABLA: </t>
    </r>
    <r>
      <rPr>
        <sz val="9"/>
        <color rgb="FF000000"/>
        <rFont val="Calibri"/>
        <family val="2"/>
      </rPr>
      <t>OMN_PRO_CLIENTES_TARJETA
PROD
BDD PPOMNICA
HOST = omni-scan
PORT = 10521
TEST
BDD TPOMN
HOST = omni-tst-scan.uio.bpichincha.com
PORT = 10521</t>
    </r>
  </si>
  <si>
    <t>4.8M</t>
  </si>
  <si>
    <t>10ms</t>
  </si>
  <si>
    <t>consultarClienteInterdin02
actualizarClienteInterdin31</t>
  </si>
  <si>
    <t>https://s.icepanel.io/wJSECZOwwNkkW8/YwHV</t>
  </si>
  <si>
    <t>https://dev.azure.com/BancoPichinchaEC/adi-especificaciones-tecnicas/_git/adi-doc-tecspec-tribu-integracion-apis?path=/sp%20-%20Soporte/tnd-msa-sp-wsproductos0118</t>
  </si>
  <si>
    <t>ws-wsproductos0118-was - Repos</t>
  </si>
  <si>
    <t>https://pichincha.atlassian.net/browse/PCBG-502</t>
  </si>
  <si>
    <t>Servicio que implementa la funcionalidad de consultar catálogos.- Ejp. Camal, medio y aplicación</t>
  </si>
  <si>
    <r>
      <rPr>
        <sz val="9"/>
        <color rgb="FF000000"/>
        <rFont val="Calibri"/>
        <family val="2"/>
      </rPr>
      <t xml:space="preserve">UMPTecnicos0010 --&gt; ConsultarCatalogosServicio
	</t>
    </r>
    <r>
      <rPr>
        <b/>
        <sz val="9"/>
        <color rgb="FF000000"/>
        <rFont val="Calibri"/>
        <family val="2"/>
      </rPr>
      <t xml:space="preserve">BDD: </t>
    </r>
    <r>
      <rPr>
        <sz val="9"/>
        <color rgb="FF000000"/>
        <rFont val="Calibri"/>
        <family val="2"/>
      </rPr>
      <t xml:space="preserve">PPOMNICA
	</t>
    </r>
    <r>
      <rPr>
        <b/>
        <sz val="9"/>
        <color rgb="FF000000"/>
        <rFont val="Calibri"/>
        <family val="2"/>
      </rPr>
      <t xml:space="preserve">ESQUEMA: </t>
    </r>
    <r>
      <rPr>
        <sz val="9"/>
        <color rgb="FF000000"/>
        <rFont val="Calibri"/>
        <family val="2"/>
      </rPr>
      <t xml:space="preserve">CATALOGA
	</t>
    </r>
    <r>
      <rPr>
        <b/>
        <sz val="9"/>
        <color rgb="FF000000"/>
        <rFont val="Calibri"/>
        <family val="2"/>
      </rPr>
      <t xml:space="preserve">TABLA: </t>
    </r>
    <r>
      <rPr>
        <sz val="9"/>
        <color rgb="FF000000"/>
        <rFont val="Calibri"/>
        <family val="2"/>
      </rPr>
      <t xml:space="preserve">OMN_CAT_DETALLE
</t>
    </r>
    <r>
      <rPr>
        <b/>
        <sz val="9"/>
        <color rgb="FF000000"/>
        <rFont val="Calibri"/>
        <family val="2"/>
      </rPr>
      <t xml:space="preserve">	TABLA:</t>
    </r>
    <r>
      <rPr>
        <sz val="9"/>
        <color rgb="FF000000"/>
        <rFont val="Calibri"/>
        <family val="2"/>
      </rPr>
      <t xml:space="preserve"> OMN_CAT_MAESTRO
UMPTecnicos0031 --&gt; ConsultarTransaccionNegocio
	</t>
    </r>
    <r>
      <rPr>
        <b/>
        <sz val="9"/>
        <color rgb="FF000000"/>
        <rFont val="Calibri"/>
        <family val="2"/>
      </rPr>
      <t xml:space="preserve">BDD: </t>
    </r>
    <r>
      <rPr>
        <sz val="9"/>
        <color rgb="FF000000"/>
        <rFont val="Calibri"/>
        <family val="2"/>
      </rPr>
      <t xml:space="preserve">PPOMNICA
</t>
    </r>
    <r>
      <rPr>
        <b/>
        <sz val="9"/>
        <color rgb="FF000000"/>
        <rFont val="Calibri"/>
        <family val="2"/>
      </rPr>
      <t xml:space="preserve">	ESQUEMA:</t>
    </r>
    <r>
      <rPr>
        <sz val="9"/>
        <color rgb="FF000000"/>
        <rFont val="Calibri"/>
        <family val="2"/>
      </rPr>
      <t xml:space="preserve"> CATALOGA
	</t>
    </r>
    <r>
      <rPr>
        <b/>
        <sz val="9"/>
        <color rgb="FF000000"/>
        <rFont val="Calibri"/>
        <family val="2"/>
      </rPr>
      <t xml:space="preserve">TABLA: </t>
    </r>
    <r>
      <rPr>
        <sz val="9"/>
        <color rgb="FF000000"/>
        <rFont val="Calibri"/>
        <family val="2"/>
      </rPr>
      <t xml:space="preserve">OMN_CAT_DETALLE
	</t>
    </r>
    <r>
      <rPr>
        <b/>
        <sz val="9"/>
        <color rgb="FF000000"/>
        <rFont val="Calibri"/>
        <family val="2"/>
      </rPr>
      <t xml:space="preserve">TABLA: </t>
    </r>
    <r>
      <rPr>
        <sz val="9"/>
        <color rgb="FF000000"/>
        <rFont val="Calibri"/>
        <family val="2"/>
      </rPr>
      <t xml:space="preserve">OMN_CAT_MAESTRO
</t>
    </r>
    <r>
      <rPr>
        <b/>
        <sz val="9"/>
        <color rgb="FF000000"/>
        <rFont val="Calibri"/>
        <family val="2"/>
      </rPr>
      <t xml:space="preserve">	TABLA: </t>
    </r>
    <r>
      <rPr>
        <sz val="9"/>
        <color rgb="FF000000"/>
        <rFont val="Calibri"/>
        <family val="2"/>
      </rPr>
      <t xml:space="preserve">OMN_CAT_TRANSAC_NEGOCIO
UMPTecnicos0032 --&gt; ActualizarTransacNegocioServicio
</t>
    </r>
    <r>
      <rPr>
        <b/>
        <sz val="9"/>
        <color rgb="FF000000"/>
        <rFont val="Calibri"/>
        <family val="2"/>
      </rPr>
      <t xml:space="preserve">	BDD: </t>
    </r>
    <r>
      <rPr>
        <sz val="9"/>
        <color rgb="FF000000"/>
        <rFont val="Calibri"/>
        <family val="2"/>
      </rPr>
      <t xml:space="preserve">PPOMNICA
	</t>
    </r>
    <r>
      <rPr>
        <b/>
        <sz val="9"/>
        <color rgb="FF000000"/>
        <rFont val="Calibri"/>
        <family val="2"/>
      </rPr>
      <t>ESQUEMA:</t>
    </r>
    <r>
      <rPr>
        <sz val="9"/>
        <color rgb="FF000000"/>
        <rFont val="Calibri"/>
        <family val="2"/>
      </rPr>
      <t xml:space="preserve"> CATALOGA
	</t>
    </r>
    <r>
      <rPr>
        <b/>
        <sz val="9"/>
        <color rgb="FF000000"/>
        <rFont val="Calibri"/>
        <family val="2"/>
      </rPr>
      <t xml:space="preserve">TABLA: </t>
    </r>
    <r>
      <rPr>
        <sz val="9"/>
        <color rgb="FF000000"/>
        <rFont val="Calibri"/>
        <family val="2"/>
      </rPr>
      <t xml:space="preserve">OMN_CAT_DETALLE	
	</t>
    </r>
    <r>
      <rPr>
        <b/>
        <sz val="9"/>
        <color rgb="FF000000"/>
        <rFont val="Calibri"/>
        <family val="2"/>
      </rPr>
      <t xml:space="preserve">TABLA: </t>
    </r>
    <r>
      <rPr>
        <sz val="9"/>
        <color rgb="FF000000"/>
        <rFont val="Calibri"/>
        <family val="2"/>
      </rPr>
      <t xml:space="preserve">OMN_CAT_TRANSAC_NEGOCIO
UMPTecnicos0033	--&gt; InsertarTransacNegocioServicio
</t>
    </r>
    <r>
      <rPr>
        <b/>
        <sz val="9"/>
        <color rgb="FF000000"/>
        <rFont val="Calibri"/>
        <family val="2"/>
      </rPr>
      <t xml:space="preserve">	BDD: </t>
    </r>
    <r>
      <rPr>
        <sz val="9"/>
        <color rgb="FF000000"/>
        <rFont val="Calibri"/>
        <family val="2"/>
      </rPr>
      <t xml:space="preserve">PPOMNICA
	</t>
    </r>
    <r>
      <rPr>
        <b/>
        <sz val="9"/>
        <color rgb="FF000000"/>
        <rFont val="Calibri"/>
        <family val="2"/>
      </rPr>
      <t>ESQUEMA:</t>
    </r>
    <r>
      <rPr>
        <sz val="9"/>
        <color rgb="FF000000"/>
        <rFont val="Calibri"/>
        <family val="2"/>
      </rPr>
      <t xml:space="preserve"> CATALOGA
	</t>
    </r>
    <r>
      <rPr>
        <b/>
        <sz val="9"/>
        <color rgb="FF000000"/>
        <rFont val="Calibri"/>
        <family val="2"/>
      </rPr>
      <t xml:space="preserve">TABLA: </t>
    </r>
    <r>
      <rPr>
        <sz val="9"/>
        <color rgb="FF000000"/>
        <rFont val="Calibri"/>
        <family val="2"/>
      </rPr>
      <t xml:space="preserve">OMN_CAT_DETALLE	
	</t>
    </r>
    <r>
      <rPr>
        <b/>
        <sz val="9"/>
        <color rgb="FF000000"/>
        <rFont val="Calibri"/>
        <family val="2"/>
      </rPr>
      <t>TABLA:</t>
    </r>
    <r>
      <rPr>
        <sz val="9"/>
        <color rgb="FF000000"/>
        <rFont val="Calibri"/>
        <family val="2"/>
      </rPr>
      <t xml:space="preserve"> OMN_CAT_TRANSAC_NEGOCIO
PROD
BDD PPOMNICA
HOST = omni-scan
PORT = 10521
TEST
BDD TPOMN
HOST = omni-tst-scan.uio.bpichincha.com
PORT = 10521
</t>
    </r>
  </si>
  <si>
    <t>SOAP
REST</t>
  </si>
  <si>
    <t>PPOMNICA.CATALOGA.OMN_CAT_MAESTRO
PPOMNICA.CATALOGA.OMN_CAT_DETALLE
PPOMNICA.CATALOGA.OMN_CAT_TRANSAC_NEGOCIO</t>
  </si>
  <si>
    <t>15.1k</t>
  </si>
  <si>
    <t>WSDetallesTransferencias001
WSTecnicos0027
WSReglas0004
WSReglas0011
WSReglas0010
WSTecnicos0038
ORQClientes0050
ORQTecnicos0002
ORQProductos0004
ORQProductos0034
GatewayController;  deployment-ws-motor-transferencias-java-*
cyf-msa-sp-omnichannel-catalog; cyf-msa-sp-omnichannel-catalog</t>
  </si>
  <si>
    <t>Motor de transferencias
https://motortransferencias.apps.ocp.bpichincha.com/</t>
  </si>
  <si>
    <t>obtenerCatalogo01</t>
  </si>
  <si>
    <t>https://s.icepanel.io/wJSECZOwwNkkW8/GlvV</t>
  </si>
  <si>
    <t>https://dev.azure.com/BancoPichinchaEC/adi-especificaciones-tecnicas/_git/adi-doc-tecspec-tribu-integracion-apis?path=/sp%20-%20Soporte/tmp-msa-sp-wstecnicos0003</t>
  </si>
  <si>
    <t>ws-wstecnicos0003-was - Repos</t>
  </si>
  <si>
    <t>https://pichincha.atlassian.net/browse/PCBG-407</t>
  </si>
  <si>
    <t>WSTecnicos0004</t>
  </si>
  <si>
    <t>Consulta descripción de errores</t>
  </si>
  <si>
    <t>umptecnicos0014 -&gt; jndi.tecnicos.cataloga</t>
  </si>
  <si>
    <t>Persistencia</t>
  </si>
  <si>
    <t>3.81M</t>
  </si>
  <si>
    <t>8.62 ms</t>
  </si>
  <si>
    <t>Mapeo de errores para todos los servicios omnicanalidad</t>
  </si>
  <si>
    <t>datapower interno</t>
  </si>
  <si>
    <t>consultarDescripcionError01</t>
  </si>
  <si>
    <t>Migrarse como libreria y lo consume cada servicio, a nivel de datapower modificar para evitar el llamado</t>
  </si>
  <si>
    <t>https://s.icepanel.io/wJSECZOwwNkkW8/FFEE</t>
  </si>
  <si>
    <t>https://dev.azure.com/BancoPichinchaEC/adi-especificaciones-tecnicas/_git/adi-doc-tecspec-tribu-integracion-apis?path=/sp%20-%20Soporte/tia-msa-sp-wstecnicos0004</t>
  </si>
  <si>
    <t>https://dev.azure.com/BancoPichinchaEC/tpl-integration-services-was/_git/ws-wstecnicos0004-was
https://dev.azure.com/BancoPichinchaEC/tpl-integration-services-was/_git/ump-umptecnicos0014-was</t>
  </si>
  <si>
    <t>https://pichincha.atlassian.net/browse/PCBG-616</t>
  </si>
  <si>
    <t>Se valida logica de servicio en base a .war descargado de la consola DMGR del WAS Omnicanal</t>
  </si>
  <si>
    <t>WSTecnicos0035</t>
  </si>
  <si>
    <t>Servicio que actualiza estado de transacción a ejecutarse en delay</t>
  </si>
  <si>
    <r>
      <t xml:space="preserve">UMPTecnicos0046 --&gt; ActualizarMovimientoDelayServicio -&gt; jndi.xa.tecnicos.transespera
	</t>
    </r>
    <r>
      <rPr>
        <b/>
        <sz val="9"/>
        <color rgb="FF000000"/>
        <rFont val="Calibri"/>
        <family val="2"/>
      </rPr>
      <t>BDD:</t>
    </r>
    <r>
      <rPr>
        <sz val="9"/>
        <color rgb="FF000000"/>
        <rFont val="Calibri"/>
        <family val="2"/>
      </rPr>
      <t xml:space="preserve"> PPOMNICA
</t>
    </r>
    <r>
      <rPr>
        <b/>
        <sz val="9"/>
        <color rgb="FF000000"/>
        <rFont val="Calibri"/>
        <family val="2"/>
      </rPr>
      <t xml:space="preserve">	ESQUEMA:</t>
    </r>
    <r>
      <rPr>
        <sz val="9"/>
        <color rgb="FF000000"/>
        <rFont val="Calibri"/>
        <family val="2"/>
      </rPr>
      <t xml:space="preserve"> TRANESPERA
	</t>
    </r>
    <r>
      <rPr>
        <b/>
        <sz val="9"/>
        <color rgb="FF000000"/>
        <rFont val="Calibri"/>
        <family val="2"/>
      </rPr>
      <t xml:space="preserve">TABLA: </t>
    </r>
    <r>
      <rPr>
        <sz val="9"/>
        <color rgb="FF000000"/>
        <rFont val="Calibri"/>
        <family val="2"/>
      </rPr>
      <t>OMN_TRA_TRANSACCION_ESPERA
PROD
BDD PPOMNICA
HOST = omni-scan
PORT = 10521
TEST
BDD TPOMN
HOST = omni-tst-scan.uio.bpichincha.com
PORT = 10521</t>
    </r>
  </si>
  <si>
    <t>1.49k</t>
  </si>
  <si>
    <t>18ms</t>
  </si>
  <si>
    <t>ORQClientes0050
ORQClientes0028</t>
  </si>
  <si>
    <t>ActualizarEstadoTransaccionEspera31</t>
  </si>
  <si>
    <t>https://s.icepanel.io/wJSECZOwwNkkW8/hhnR</t>
  </si>
  <si>
    <t>https://dev.azure.com/BancoPichinchaEC/adi-especificaciones-tecnicas/_git/adi-doc-tecspec-tribu-integracion-apis?path=/sp%20-%20Soporte/tnd-msa-sp-wstecnicos0035</t>
  </si>
  <si>
    <t>ws-wstecnicos0035-was - Repos</t>
  </si>
  <si>
    <t>https://pichincha.atlassian.net/browse/PCBG-408</t>
  </si>
  <si>
    <t>WSTecnicos0036</t>
  </si>
  <si>
    <t>Crea detalles y consulta estado de las transacciones que se encuentran para ejecución en delay</t>
  </si>
  <si>
    <r>
      <rPr>
        <sz val="9"/>
        <color rgb="FF000000"/>
        <rFont val="Calibri"/>
        <family val="2"/>
      </rPr>
      <t xml:space="preserve">UMPTecnicos0031 --&gt; ConsultarTransaccionNegocio
	</t>
    </r>
    <r>
      <rPr>
        <b/>
        <sz val="9"/>
        <color rgb="FF000000"/>
        <rFont val="Calibri"/>
        <family val="2"/>
      </rPr>
      <t xml:space="preserve">BDD: </t>
    </r>
    <r>
      <rPr>
        <sz val="9"/>
        <color rgb="FF000000"/>
        <rFont val="Calibri"/>
        <family val="2"/>
      </rPr>
      <t xml:space="preserve">PPOMNICA
</t>
    </r>
    <r>
      <rPr>
        <b/>
        <sz val="9"/>
        <color rgb="FF000000"/>
        <rFont val="Calibri"/>
        <family val="2"/>
      </rPr>
      <t xml:space="preserve">	ESQUEMA: </t>
    </r>
    <r>
      <rPr>
        <sz val="9"/>
        <color rgb="FF000000"/>
        <rFont val="Calibri"/>
        <family val="2"/>
      </rPr>
      <t xml:space="preserve">CATALOGA
	</t>
    </r>
    <r>
      <rPr>
        <b/>
        <sz val="9"/>
        <color rgb="FF000000"/>
        <rFont val="Calibri"/>
        <family val="2"/>
      </rPr>
      <t xml:space="preserve">TABLA: </t>
    </r>
    <r>
      <rPr>
        <sz val="9"/>
        <color rgb="FF000000"/>
        <rFont val="Calibri"/>
        <family val="2"/>
      </rPr>
      <t xml:space="preserve">OMN_CAT_DETALLE
	</t>
    </r>
    <r>
      <rPr>
        <b/>
        <sz val="9"/>
        <color rgb="FF000000"/>
        <rFont val="Calibri"/>
        <family val="2"/>
      </rPr>
      <t>TABLA:</t>
    </r>
    <r>
      <rPr>
        <sz val="9"/>
        <color rgb="FF000000"/>
        <rFont val="Calibri"/>
        <family val="2"/>
      </rPr>
      <t xml:space="preserve"> OMN_CAT_MAESTRO
	</t>
    </r>
    <r>
      <rPr>
        <b/>
        <sz val="9"/>
        <color rgb="FF000000"/>
        <rFont val="Calibri"/>
        <family val="2"/>
      </rPr>
      <t>TABLA:</t>
    </r>
    <r>
      <rPr>
        <sz val="9"/>
        <color rgb="FF000000"/>
        <rFont val="Calibri"/>
        <family val="2"/>
      </rPr>
      <t xml:space="preserve"> OMN_CAT_TRANSAC_NEGOCIO
UMPTecnicos0080 --&gt; ConsultarDetalleTransaccionDelayServicio
	</t>
    </r>
    <r>
      <rPr>
        <b/>
        <sz val="9"/>
        <color rgb="FF000000"/>
        <rFont val="Calibri"/>
        <family val="2"/>
      </rPr>
      <t xml:space="preserve">BDD: </t>
    </r>
    <r>
      <rPr>
        <sz val="9"/>
        <color rgb="FF000000"/>
        <rFont val="Calibri"/>
        <family val="2"/>
      </rPr>
      <t xml:space="preserve">PPOMNICA
	</t>
    </r>
    <r>
      <rPr>
        <b/>
        <sz val="9"/>
        <color rgb="FF000000"/>
        <rFont val="Calibri"/>
        <family val="2"/>
      </rPr>
      <t>ESQUEMA:</t>
    </r>
    <r>
      <rPr>
        <sz val="9"/>
        <color rgb="FF000000"/>
        <rFont val="Calibri"/>
        <family val="2"/>
      </rPr>
      <t xml:space="preserve"> TRANESPERA
	</t>
    </r>
    <r>
      <rPr>
        <b/>
        <sz val="9"/>
        <color rgb="FF000000"/>
        <rFont val="Calibri"/>
        <family val="2"/>
      </rPr>
      <t>TABLA:</t>
    </r>
    <r>
      <rPr>
        <sz val="9"/>
        <color rgb="FF000000"/>
        <rFont val="Calibri"/>
        <family val="2"/>
      </rPr>
      <t xml:space="preserve"> OMN_TRA_TRANSACCION_ESPERA
UMPTecnicos0111 --&gt; ConsultarDetalleTransaccionDelayCTServicio
	</t>
    </r>
    <r>
      <rPr>
        <b/>
        <sz val="9"/>
        <color rgb="FF000000"/>
        <rFont val="Calibri"/>
        <family val="2"/>
      </rPr>
      <t>BDD</t>
    </r>
    <r>
      <rPr>
        <sz val="9"/>
        <color rgb="FF000000"/>
        <rFont val="Calibri"/>
        <family val="2"/>
      </rPr>
      <t xml:space="preserve">: PPOMNICA
	</t>
    </r>
    <r>
      <rPr>
        <b/>
        <sz val="9"/>
        <color rgb="FF000000"/>
        <rFont val="Calibri"/>
        <family val="2"/>
      </rPr>
      <t>ESQUEMA:</t>
    </r>
    <r>
      <rPr>
        <sz val="9"/>
        <color rgb="FF000000"/>
        <rFont val="Calibri"/>
        <family val="2"/>
      </rPr>
      <t xml:space="preserve"> TRANESPERA
	</t>
    </r>
    <r>
      <rPr>
        <b/>
        <sz val="9"/>
        <color rgb="FF000000"/>
        <rFont val="Calibri"/>
        <family val="2"/>
      </rPr>
      <t>TABLA:</t>
    </r>
    <r>
      <rPr>
        <sz val="9"/>
        <color rgb="FF000000"/>
        <rFont val="Calibri"/>
        <family val="2"/>
      </rPr>
      <t xml:space="preserve"> OMN_TRA_TRANSACCION_ESPERA
UMPTecnicos0081 --&gt; ConsultarDetalleTransaccionReversoDelayServicio
	</t>
    </r>
    <r>
      <rPr>
        <b/>
        <sz val="9"/>
        <color rgb="FF000000"/>
        <rFont val="Calibri"/>
        <family val="2"/>
      </rPr>
      <t>BDD</t>
    </r>
    <r>
      <rPr>
        <sz val="9"/>
        <color rgb="FF000000"/>
        <rFont val="Calibri"/>
        <family val="2"/>
      </rPr>
      <t xml:space="preserve">: PPOMNICA
	</t>
    </r>
    <r>
      <rPr>
        <b/>
        <sz val="9"/>
        <color rgb="FF000000"/>
        <rFont val="Calibri"/>
        <family val="2"/>
      </rPr>
      <t xml:space="preserve">ESQUEMA: </t>
    </r>
    <r>
      <rPr>
        <sz val="9"/>
        <color rgb="FF000000"/>
        <rFont val="Calibri"/>
        <family val="2"/>
      </rPr>
      <t xml:space="preserve">TRANESPERA
	</t>
    </r>
    <r>
      <rPr>
        <b/>
        <sz val="9"/>
        <color rgb="FF000000"/>
        <rFont val="Calibri"/>
        <family val="2"/>
      </rPr>
      <t>TABLA:</t>
    </r>
    <r>
      <rPr>
        <sz val="9"/>
        <color rgb="FF000000"/>
        <rFont val="Calibri"/>
        <family val="2"/>
      </rPr>
      <t xml:space="preserve"> OMN_TRA_TRANSACCION_ESPERA
UMPTecnicos0045 --&gt; CrearDetalleTransaccionDelayServicio
	</t>
    </r>
    <r>
      <rPr>
        <b/>
        <sz val="9"/>
        <color rgb="FF000000"/>
        <rFont val="Calibri"/>
        <family val="2"/>
      </rPr>
      <t xml:space="preserve">BDD: </t>
    </r>
    <r>
      <rPr>
        <sz val="9"/>
        <color rgb="FF000000"/>
        <rFont val="Calibri"/>
        <family val="2"/>
      </rPr>
      <t xml:space="preserve">PPOMNICA
	</t>
    </r>
    <r>
      <rPr>
        <b/>
        <sz val="9"/>
        <color rgb="FF000000"/>
        <rFont val="Calibri"/>
        <family val="2"/>
      </rPr>
      <t>ESQUEMA:</t>
    </r>
    <r>
      <rPr>
        <sz val="9"/>
        <color rgb="FF000000"/>
        <rFont val="Calibri"/>
        <family val="2"/>
      </rPr>
      <t xml:space="preserve"> TRANESPERA
	</t>
    </r>
    <r>
      <rPr>
        <b/>
        <sz val="9"/>
        <color rgb="FF000000"/>
        <rFont val="Calibri"/>
        <family val="2"/>
      </rPr>
      <t>TABLA</t>
    </r>
    <r>
      <rPr>
        <sz val="9"/>
        <color rgb="FF000000"/>
        <rFont val="Calibri"/>
        <family val="2"/>
      </rPr>
      <t xml:space="preserve">: OMN_TRA_TRANSACCION_ESPERA
PROD
BDD PPOMNICA
HOST = omni-scan
PORT = 10521
TEST
BDD TPOMN
HOST = omni-tst-scan.uio.bpichincha.com
PORT = 10521
</t>
    </r>
  </si>
  <si>
    <t>11.3k</t>
  </si>
  <si>
    <t>15ms</t>
  </si>
  <si>
    <t>ConsultarDetalleTransaccionDelay01
ConsultarDetalleTransaccionDelay02
CrearDetalleTransaccionDelayServicio21</t>
  </si>
  <si>
    <t>https://s.icepanel.io/wJSECZOwwNkkW8/25nm</t>
  </si>
  <si>
    <t>https://dev.azure.com/BancoPichinchaEC/adi-especificaciones-tecnicas/_git/adi-doc-tecspec-tribu-integracion-apis?path=/sp%20-%20Soporte/tnd-msa-sp-wstecnicos0036</t>
  </si>
  <si>
    <t>ws-wstecnicos0036-was - Repos</t>
  </si>
  <si>
    <t>https://pichincha.atlassian.net/browse/PCBG-409</t>
  </si>
  <si>
    <t>WSTecnicos0039</t>
  </si>
  <si>
    <t xml:space="preserve">Obtiene lista de de transacciones y medios de notificacion
</t>
  </si>
  <si>
    <t>BDD: 	srvppomnica
 jdbc/omni 
ESQUEMA: CATALOGA
jndi:/clientes.conclient
umptecnicos0049 -&gt; Obtiene lista de de transacciones y medios de notificacion
umptecnicos0010</t>
  </si>
  <si>
    <t>80k/Diarias</t>
  </si>
  <si>
    <t>WSTecnicos0027
ORQClientes0037
ORQSeguridad0021
ORQClientes0005
ORQSeguridad0004
ORQTecnicos0002
Proxy 1 (10.151.152.109, 10.151.152.107)</t>
  </si>
  <si>
    <t>Tribu Canales Digitales
Tribu Canales Fisicos
Tribu retail
Tribu Medios de Pago
Tribu Empresas</t>
  </si>
  <si>
    <t>consultarNotificacion01
actualizarNotificacionesPorCliente31
consultarCatalogoTransaccionNotificacion03
consultarTodaNotificacion02</t>
  </si>
  <si>
    <t>https://s.icepanel.io/wJSECZOwwNkkW8/E8NU</t>
  </si>
  <si>
    <t>https://dev.azure.com/BancoPichinchaEC/adi-especificaciones-tecnicas/_git/adi-doc-tecspec-tribu-integracion-apis?path=/sp%20-%20Soporte/tnd-msa-sp-wstecnicos0039</t>
  </si>
  <si>
    <t>https://dev.azure.com/BancoPichinchaEC/tpl-integration-services-was/_git/ws-wstecnicos0039-was</t>
  </si>
  <si>
    <t>https://pichincha.atlassian.net/browse/PCBG-410</t>
  </si>
  <si>
    <t xml:space="preserve">WSTecnicos0063 </t>
  </si>
  <si>
    <t>Consulta de catalogos a BANCS , CREDIFE y S21</t>
  </si>
  <si>
    <t xml:space="preserve"> jndi.sfi p11431BDD CREDIFE
 jndi.catalogo.bancs p1521 BDD p012band_taf
 jndi.catalogo.sigloBDD SRVPPRD
umptecnicos0066 -&gt;Consulta de catalogos a BANCS , CREDIFE y S21</t>
  </si>
  <si>
    <t>BDD: BANCS
BDD: CREDIFE
BDD: S21</t>
  </si>
  <si>
    <t>3.1M/Diarias</t>
  </si>
  <si>
    <t>ORQClientes0071
HTTPSERVERConsulta
WSTecnicos0255
ORQClientes0040
ORQCLientes0062
ORQClientes0072
10.223.38.13
10.70.128.163
10.70.128.164
10.223.38.14
10.151.152.216
Orqclientes0008</t>
  </si>
  <si>
    <t>TRIBU MEDIOS DE PAGO
TRIBU SEGMENTOS Y NEGOCIOS DIGITALES
TRIBU CORES Y TRANSACCIONES</t>
  </si>
  <si>
    <t>ORQClientes0071
HTTPSERVERConsulta
WSTecnicos0255
ORQClientes0040
ORQCLientes0062
ORQClientes0072
Orqclientes0008</t>
  </si>
  <si>
    <t xml:space="preserve">trv-msa-sp-customer -&gt; REN
ays-msa-sp-bpm-party-aditional-data
ws-motor-tranferencias
ays-msa-sp-additional-propect-.data
tdd-msa-card
ays-msa-sp-bpm-customer-information
ays-msa-sp-bpm-party-aditional-detail
mht-msa-user-profile
</t>
  </si>
  <si>
    <t>obtenerCatalogosSigloBancs01</t>
  </si>
  <si>
    <t>https://s.icepanel.io/wJSECZOwwNkkW8/DjST</t>
  </si>
  <si>
    <t>https://dev.azure.com/BancoPichinchaEC/adi-especificaciones-tecnicas/_git/adi-doc-tecspec-tribu-integracion-apis?version=GBmaster&amp;path=/sp%20-%20Soporte/tia-msa-sp-wstecnicos0063</t>
  </si>
  <si>
    <t>https://dev.azure.com/BancoPichinchaEC/tpl-integration-services-was/_git/ws-wstecnicos0063-was</t>
  </si>
  <si>
    <t>https://pichincha.atlassian.net/browse/PCBG-411</t>
  </si>
  <si>
    <t>WSTecnicos0070</t>
  </si>
  <si>
    <t xml:space="preserve"> Servicio para consultar y crear los logs de Autocertificacion</t>
  </si>
  <si>
    <r>
      <t xml:space="preserve">UMPTecnicos0099 --&gt; CrudLogsAutocertificacion
</t>
    </r>
    <r>
      <rPr>
        <b/>
        <sz val="9"/>
        <color rgb="FF000000"/>
        <rFont val="Calibri"/>
        <family val="2"/>
      </rPr>
      <t>BDD</t>
    </r>
    <r>
      <rPr>
        <sz val="9"/>
        <color rgb="FF000000"/>
        <rFont val="Calibri"/>
        <family val="2"/>
      </rPr>
      <t xml:space="preserve">: AUTORIZADOR_PICHINCHA		
</t>
    </r>
    <r>
      <rPr>
        <b/>
        <sz val="9"/>
        <color rgb="FF000000"/>
        <rFont val="Calibri"/>
        <family val="2"/>
      </rPr>
      <t xml:space="preserve">TABLA: </t>
    </r>
    <r>
      <rPr>
        <sz val="9"/>
        <color rgb="FF000000"/>
        <rFont val="Calibri"/>
        <family val="2"/>
      </rPr>
      <t xml:space="preserve">RF_LOGS_AUTOCERTIFICACION
PROD
BDD AUTORIZADOR_PICHINCHA
HOST =  ECBPLSNQ31Q31 
PORT =  11431
TEST
BDD AUTORIZADOR_PICHINCHA
HOST =   10.60.136.55 
PORT =   11411 </t>
    </r>
  </si>
  <si>
    <t xml:space="preserve">BDD: AUTORIZADOR_PICHINCHA		</t>
  </si>
  <si>
    <t>11.1k</t>
  </si>
  <si>
    <t>ORQTecnicos0003
ORQClientes0045
ORQClientes0040
onb-msa-tax-residence - /api/v1/tax-residence/update</t>
  </si>
  <si>
    <t>ConsultarLogsCertificacion01
ConsultarLogsCertificacion03
CrearLogsCertificacion22</t>
  </si>
  <si>
    <t>Considerar que el servicio se va a reutilizar por temas regulatorios. Coordinar pruebas con Carolina Campuzano/ Enrique Marquez</t>
  </si>
  <si>
    <t>https://s.icepanel.io/wJSECZOwwNkkW8/SOkj</t>
  </si>
  <si>
    <t>https://dev.azure.com/BancoPichinchaEC/adi-especificaciones-tecnicas/_git/adi-doc-tecspec-tribu-integracion-apis?version=GBmaster&amp;path=/sp%20-%20Soporte/tnd-msa-sp-wstecnicos0070</t>
  </si>
  <si>
    <t>ws-wstecnicos0070-was - Repos</t>
  </si>
  <si>
    <t>https://pichincha.atlassian.net/browse/PCBG-412</t>
  </si>
  <si>
    <t>WSTecnicos0076</t>
  </si>
  <si>
    <t>Actualizar Tabla de Logs de modificaciones de Portal por producto SIMA - PCBG-413</t>
  </si>
  <si>
    <t xml:space="preserve">umptecnicos0098 -&gt; Esquema: portal -&gt; jndi.bancs.clientes -&gt;  CrearLogModificacionesDao
 "jdbc:oracle:thin:@(DESCRIPTION = (ADDRESS_LIST = (LOAD_BALANCE = OFF) (FAILOVER = ON) (ADDRESS = (PROTOCOL = TCP)(HOST = PRECXDB003-scan.uio.bpichincha.com)(PORT = 10521)) (ADDRESS = (PROTOCOL = TCP)(HOST = DRECXDB003-scan.uio.bpichincha.com)(PORT = 10521))) (CONNECT_DATA = (SERVER = DEDICATED)(SERVICE_NAME = p012band_taf)))" </t>
  </si>
  <si>
    <t>BDD: BANCS p012band_taf</t>
  </si>
  <si>
    <t>8934 - SOAP
8932 - REST</t>
  </si>
  <si>
    <t>56.4 K</t>
  </si>
  <si>
    <t>21.9 ms</t>
  </si>
  <si>
    <t>ClientInformationController; mht-msa-user-profile
ProcessAddressController; mht-msa-user-profile
deployment-mht-msa-economic-data-*
ORQClientes0035
ORQClientes0036
ORQClientes0038
ORQClientes0048
ORQProductos0052</t>
  </si>
  <si>
    <t>crearLogModificaciones21</t>
  </si>
  <si>
    <t>https://s.icepanel.io/wJSECZOwwNkkW8/Gsnv</t>
  </si>
  <si>
    <t>https://dev.azure.com/BancoPichinchaEC/adi-especificaciones-tecnicas/_git/adi-doc-tecspec-tribu-integracion-apis?version=GBmaster&amp;path=/sp%20-%20Soporte/tnd-msa-sp-wstecnicos0076</t>
  </si>
  <si>
    <t>https://dev.azure.com/BancoPichinchaEC/tpl-bus-omnicanal/_git/sqb-msa-wstecnicos0076</t>
  </si>
  <si>
    <t>https://pichincha.atlassian.net/browse/PCBG-413</t>
  </si>
  <si>
    <t>WSTecnicos0077</t>
  </si>
  <si>
    <t>Servicio que genera el Autocertificacion de Residencia Fiscal</t>
  </si>
  <si>
    <t>umptecnicos0100 -&gt; GenerarPdfPersonaNatural</t>
  </si>
  <si>
    <t>Usa librería iText</t>
  </si>
  <si>
    <t>SU consumidor tiene varios backend onpremise.
ON-PREMISE</t>
  </si>
  <si>
    <t>Soap 8934</t>
  </si>
  <si>
    <t>8.4k</t>
  </si>
  <si>
    <t>106 ms</t>
  </si>
  <si>
    <t>generarAutocertificacion51</t>
  </si>
  <si>
    <t>uso de properties , uso de librería iText</t>
  </si>
  <si>
    <t>https://s.icepanel.io/wJSECZOwwNkkW8/frdx</t>
  </si>
  <si>
    <t>https://dev.azure.com/BancoPichinchaEC/adi-especificaciones-tecnicas/_git/adi-doc-tecspec-tribu-integracion-apis?version=GBmaster&amp;path=/sp%20-%20Soporte/tnd-msa-sp-wstecnicos0077</t>
  </si>
  <si>
    <t>https://dev.azure.com/BancoPichinchaEC/tpl-integration-services-was/_git/ws-wstecnicos0077-was</t>
  </si>
  <si>
    <t>https://pichincha.atlassian.net/browse/PCBG-503</t>
  </si>
  <si>
    <t>WSClientes0010</t>
  </si>
  <si>
    <t>Permite gestionar el grupo de clave digital para un cliente</t>
  </si>
  <si>
    <r>
      <t xml:space="preserve">UMPTecnicos0010 --&gt; ConsultarCatalogosServicio
	</t>
    </r>
    <r>
      <rPr>
        <b/>
        <sz val="9"/>
        <color rgb="FF000000"/>
        <rFont val="Calibri"/>
        <family val="2"/>
      </rPr>
      <t xml:space="preserve">BDD: </t>
    </r>
    <r>
      <rPr>
        <sz val="9"/>
        <color rgb="FF000000"/>
        <rFont val="Calibri"/>
        <family val="2"/>
      </rPr>
      <t xml:space="preserve">PPOMNICA
	</t>
    </r>
    <r>
      <rPr>
        <b/>
        <sz val="9"/>
        <color rgb="FF000000"/>
        <rFont val="Calibri"/>
        <family val="2"/>
      </rPr>
      <t xml:space="preserve">ESQUEMA: </t>
    </r>
    <r>
      <rPr>
        <sz val="9"/>
        <color rgb="FF000000"/>
        <rFont val="Calibri"/>
        <family val="2"/>
      </rPr>
      <t xml:space="preserve">CATALOGA
	</t>
    </r>
    <r>
      <rPr>
        <b/>
        <sz val="9"/>
        <color rgb="FF000000"/>
        <rFont val="Calibri"/>
        <family val="2"/>
      </rPr>
      <t>TABLA:</t>
    </r>
    <r>
      <rPr>
        <sz val="9"/>
        <color rgb="FF000000"/>
        <rFont val="Calibri"/>
        <family val="2"/>
      </rPr>
      <t xml:space="preserve"> OMN_CAT_DETALLE
	</t>
    </r>
    <r>
      <rPr>
        <b/>
        <sz val="9"/>
        <color rgb="FF000000"/>
        <rFont val="Calibri"/>
        <family val="2"/>
      </rPr>
      <t>TABLA:</t>
    </r>
    <r>
      <rPr>
        <sz val="9"/>
        <color rgb="FF000000"/>
        <rFont val="Calibri"/>
        <family val="2"/>
      </rPr>
      <t xml:space="preserve"> OMN_CAT_MAESTRO
	</t>
    </r>
    <r>
      <rPr>
        <b/>
        <sz val="9"/>
        <color rgb="FF000000"/>
        <rFont val="Calibri"/>
        <family val="2"/>
      </rPr>
      <t>TABLA:</t>
    </r>
    <r>
      <rPr>
        <sz val="9"/>
        <color rgb="FF000000"/>
        <rFont val="Calibri"/>
        <family val="2"/>
      </rPr>
      <t xml:space="preserve"> OMN_CAT_TRANSACCION_NOTIF	
UMPClientes0178 --&gt; GestionGrupoClaveDigital
	</t>
    </r>
    <r>
      <rPr>
        <b/>
        <sz val="9"/>
        <color rgb="FF000000"/>
        <rFont val="Calibri"/>
        <family val="2"/>
      </rPr>
      <t>BDD:</t>
    </r>
    <r>
      <rPr>
        <sz val="9"/>
        <color rgb="FF000000"/>
        <rFont val="Calibri"/>
        <family val="2"/>
      </rPr>
      <t xml:space="preserve"> PPOMNICA
	</t>
    </r>
    <r>
      <rPr>
        <b/>
        <sz val="9"/>
        <color rgb="FF000000"/>
        <rFont val="Calibri"/>
        <family val="2"/>
      </rPr>
      <t xml:space="preserve">ESQUEMA: </t>
    </r>
    <r>
      <rPr>
        <sz val="9"/>
        <color rgb="FF000000"/>
        <rFont val="Calibri"/>
        <family val="2"/>
      </rPr>
      <t xml:space="preserve">CONCLIENT
</t>
    </r>
    <r>
      <rPr>
        <b/>
        <sz val="9"/>
        <color rgb="FF000000"/>
        <rFont val="Calibri"/>
        <family val="2"/>
      </rPr>
      <t xml:space="preserve">	TABLA:</t>
    </r>
    <r>
      <rPr>
        <sz val="9"/>
        <color rgb="FF000000"/>
        <rFont val="Calibri"/>
        <family val="2"/>
      </rPr>
      <t xml:space="preserve"> OMN_CLI_CONTROL_TRANS
PROD
BDD PPOMNICA
HOST = omni-scan
PORT = 10521
TEST
BDD TPOMN
HOST = omni-tst-scan.uio.bpichincha.com
PORT = 10521</t>
    </r>
  </si>
  <si>
    <t>PPOMNICA.CATALOGA.OMN_CAT_MAESTRO
PPOMNICA.CATALOGA.OMN_CAT_DETALLE
PPOMNICA.CATALOGA.OMN_CAT_TRANSACCION_NOTIF</t>
  </si>
  <si>
    <t>122k</t>
  </si>
  <si>
    <t>9ms</t>
  </si>
  <si>
    <t>ORQClientes0005
ORQClientes0037
ORQSeguridad0004
WSTecnicos0027
WSReglas0011</t>
  </si>
  <si>
    <t>consultarGrupoClaveDigital01
crearGrupoClaveDigital21
actualizarGrupoClaveDigital31</t>
  </si>
  <si>
    <t>https://s.icepanel.io/wJSECZOwwNkkW8/9gBY</t>
  </si>
  <si>
    <t>https://dev.azure.com/BancoPichinchaEC/adi-especificaciones-tecnicas/_git/adi-doc-tecspec-tribu-integracion-apis?path=/sp%20-%20Soporte/csg-msa-sp-wsclientes0010</t>
  </si>
  <si>
    <t>ws-wsclientes0010-was - Repos</t>
  </si>
  <si>
    <t>https://pichincha.atlassian.net/browse/PCBG-504</t>
  </si>
  <si>
    <t>WSClientes0023</t>
  </si>
  <si>
    <t>Servicio que consulta la base de datos sitar para obtener tarjetas</t>
  </si>
  <si>
    <r>
      <rPr>
        <sz val="9"/>
        <color rgb="FF000000"/>
        <rFont val="Calibri"/>
        <family val="2"/>
      </rPr>
      <t xml:space="preserve">UMPClientes0009 --&gt; OperacionesUsuarioServicio
</t>
    </r>
    <r>
      <rPr>
        <b/>
        <sz val="9"/>
        <color rgb="FF000000"/>
        <rFont val="Calibri"/>
        <family val="2"/>
      </rPr>
      <t>BDD:</t>
    </r>
    <r>
      <rPr>
        <sz val="9"/>
        <color rgb="FF000000"/>
        <rFont val="Calibri"/>
        <family val="2"/>
      </rPr>
      <t xml:space="preserve"> Repositorio_SITAR	
</t>
    </r>
    <r>
      <rPr>
        <b/>
        <sz val="9"/>
        <color rgb="FF000000"/>
        <rFont val="Calibri"/>
        <family val="2"/>
      </rPr>
      <t>SP:</t>
    </r>
    <r>
      <rPr>
        <sz val="9"/>
        <color rgb="FF000000"/>
        <rFont val="Calibri"/>
        <family val="2"/>
      </rPr>
      <t xml:space="preserve"> {call PRC_SIT_TAR_COD_BLOQUEO(?,?,?)}
PROD
BDD Repositorio_SITAR
HOST = ECBPPRQ60
PORT = 1460
TEST
BDD  Repositorio_SITAR 
HOST = ECBPTSQ10 
PORT = 1433</t>
    </r>
  </si>
  <si>
    <t>BDD: Repositorio_SITAR</t>
  </si>
  <si>
    <t>6.1k</t>
  </si>
  <si>
    <t>21ms</t>
  </si>
  <si>
    <t>ORQClientes0027
ORQProductos0073
WSClientes0131.API - /api/v1/Cliente/ConsultarValorCuota02</t>
  </si>
  <si>
    <t>https://s.icepanel.io/wJSECZOwwNkkW8/9E5q</t>
  </si>
  <si>
    <t>https://dev.azure.com/BancoPichinchaEC/adi-especificaciones-tecnicas/_git/adi-doc-tecspec-tribu-integracion-apis?path=/sp%20-%20Soporte/tpr-msa-sp-wsclientes0023</t>
  </si>
  <si>
    <t>ws-wsclientes0023-was - Repos</t>
  </si>
  <si>
    <t>https://pichincha.atlassian.net/browse/PCBG-505</t>
  </si>
  <si>
    <t>WSClientes0026</t>
  </si>
  <si>
    <t>Operaciones de validación de intentos tarjeta experta.</t>
  </si>
  <si>
    <r>
      <t xml:space="preserve">UMPClientes0032 --&gt; ValidacionIntentosExperta
</t>
    </r>
    <r>
      <rPr>
        <b/>
        <sz val="9"/>
        <color rgb="FF000000"/>
        <rFont val="Calibri"/>
        <family val="2"/>
      </rPr>
      <t>BDD:</t>
    </r>
    <r>
      <rPr>
        <sz val="9"/>
        <color rgb="FF000000"/>
        <rFont val="Calibri"/>
        <family val="2"/>
      </rPr>
      <t xml:space="preserve"> PPOMNICA
</t>
    </r>
    <r>
      <rPr>
        <b/>
        <sz val="9"/>
        <color rgb="FF000000"/>
        <rFont val="Calibri"/>
        <family val="2"/>
      </rPr>
      <t>ESQUEMA:</t>
    </r>
    <r>
      <rPr>
        <sz val="9"/>
        <color rgb="FF000000"/>
        <rFont val="Calibri"/>
        <family val="2"/>
      </rPr>
      <t xml:space="preserve"> CONCLIENT
</t>
    </r>
    <r>
      <rPr>
        <b/>
        <sz val="9"/>
        <color rgb="FF000000"/>
        <rFont val="Calibri"/>
        <family val="2"/>
      </rPr>
      <t xml:space="preserve">TABLA: </t>
    </r>
    <r>
      <rPr>
        <sz val="9"/>
        <color rgb="FF000000"/>
        <rFont val="Calibri"/>
        <family val="2"/>
      </rPr>
      <t>OMN_CONTAR_INTENTO_TRANSACCION
PROD
BDD PPOMNICA
HOST = omni-scan
PORT = 10521
TEST
BDD TPOMN
HOST = omni-tst-scan.uio.bpichincha.com
PORT = 10521</t>
    </r>
  </si>
  <si>
    <t>BDD: PPOMNICA</t>
  </si>
  <si>
    <t>117k</t>
  </si>
  <si>
    <t>12ms</t>
  </si>
  <si>
    <t>ORQSeguridad0004
ORQSeguridad0021
ORQClientes0005
ORQClientes0037</t>
  </si>
  <si>
    <t>consultar01
consultar02
registrar23
incrementar34
reiniciar35
actualizarFechaDia36
agregarDiaFechaActual37</t>
  </si>
  <si>
    <t>https://s.icepanel.io/wJSECZOwwNkkW8/vCwm</t>
  </si>
  <si>
    <t>https://dev.azure.com/BancoPichinchaEC/adi-especificaciones-tecnicas/_git/adi-doc-tecspec-tribu-integracion-apis?path=/sp%20-%20Soporte/csg-msa-sp-wsclientes0026</t>
  </si>
  <si>
    <t>ws-wsclientes0026-was - Repos</t>
  </si>
  <si>
    <t>https://pichincha.atlassian.net/browse/PCBG-506</t>
  </si>
  <si>
    <t>tnd-msa-sp-cfi-wsclientes0060</t>
  </si>
  <si>
    <t>Obtiene información adicional de clientes SFI</t>
  </si>
  <si>
    <r>
      <t xml:space="preserve">UMPClientes0075 --&gt; ObtenerInformacionAdicionalClienteSFI
</t>
    </r>
    <r>
      <rPr>
        <b/>
        <sz val="9"/>
        <color rgb="FF000000"/>
        <rFont val="Calibri"/>
        <family val="2"/>
      </rPr>
      <t>BDD:</t>
    </r>
    <r>
      <rPr>
        <sz val="9"/>
        <color rgb="FF000000"/>
        <rFont val="Calibri"/>
        <family val="2"/>
      </rPr>
      <t xml:space="preserve"> CREDIFE
</t>
    </r>
    <r>
      <rPr>
        <b/>
        <sz val="9"/>
        <color rgb="FF000000"/>
        <rFont val="Calibri"/>
        <family val="2"/>
      </rPr>
      <t>SP</t>
    </r>
    <r>
      <rPr>
        <sz val="9"/>
        <color rgb="FF000000"/>
        <rFont val="Calibri"/>
        <family val="2"/>
      </rPr>
      <t>: CFE_INFCOMPL_MVL(?,?)
PROD
BDD CREDIFE
HOST = ECBPLSNQ31Q31
PORT = 11431
TEST
BDD CREDIFE
HOST = 10.0.93.218
PORT = 11456</t>
    </r>
  </si>
  <si>
    <t>BDD: CREDIFE</t>
  </si>
  <si>
    <t>4.4K</t>
  </si>
  <si>
    <t>25.3ms</t>
  </si>
  <si>
    <t>ORQClientes0016
ORQClientes0038
ORQClientes0048
ORQClientes0059
ORQClientes0035</t>
  </si>
  <si>
    <t>informacionAdicionalClienteSFI01</t>
  </si>
  <si>
    <t>https://s.icepanel.io/wJSECZOwwNkkW8/t2rT</t>
  </si>
  <si>
    <t>https://dev.azure.com/BancoPichinchaEC/adi-especificaciones-tecnicas/_git/adi-doc-tecspec-tribu-integracion-apis?path=/sp%20-%20Soporte/tnd-msa-sp-cfi-wsclientes0060</t>
  </si>
  <si>
    <t>ws-wscliente0060-was - Repos</t>
  </si>
  <si>
    <t>WSClientes0076</t>
  </si>
  <si>
    <t xml:space="preserve">Consultar  dias de mora de tarjeta </t>
  </si>
  <si>
    <t>umpclientes0025 -&gt;  Consultar dias mora.
RIESGO.PKG_BPM_CREDITOS.PRC_DIASMORA_TARJETA
jndi.clientes.riesgo.01
BDD srvpprd
Host = siglo-scan;siglo-dca-scan</t>
  </si>
  <si>
    <t>BDD: srvpprd
Host = siglo-scan;siglo-dca-scan</t>
  </si>
  <si>
    <t>Persistencia de datos</t>
  </si>
  <si>
    <t>11.9K</t>
  </si>
  <si>
    <t>1.58s</t>
  </si>
  <si>
    <t xml:space="preserve">COE_TRANSFORMACION_PROCESOS
TRIBU PRODUCTOS            </t>
  </si>
  <si>
    <t>ORQClientes0027
ORQProductos0073</t>
  </si>
  <si>
    <t>ConsultarDiasMoraTarjeta01</t>
  </si>
  <si>
    <t>https://dev.azure.com/BancoPichinchaEC/tpl-integration-services-was/_git/ws-wsclientes0076-was</t>
  </si>
  <si>
    <t>https://dev.azure.com/BancoPichinchaEC/adi-especificaciones-tecnicas/_git/adi-doc-tecspec-tribu-integracion-apis?version=GBmaster&amp;path=/sp%20-%20Soporte/tpr-msa-sp-wsclientes0076</t>
  </si>
  <si>
    <t>https://dev.azure.com/BancoPichinchaEC/tpl-bus-omnicanal/_git/sqb-msa-wsclientes0076</t>
  </si>
  <si>
    <t>https://pichincha.atlassian.net/browse/PCBG-507</t>
  </si>
  <si>
    <t>WSClientes0091</t>
  </si>
  <si>
    <t>Consulta detalle de garantias asociadas a un cliente</t>
  </si>
  <si>
    <r>
      <t xml:space="preserve">UMPClientes0008 --&gt; ConsultarGarantia
	</t>
    </r>
    <r>
      <rPr>
        <b/>
        <sz val="9"/>
        <color rgb="FF000000"/>
        <rFont val="Calibri"/>
        <family val="2"/>
      </rPr>
      <t xml:space="preserve">BDD: </t>
    </r>
    <r>
      <rPr>
        <sz val="9"/>
        <color rgb="FF000000"/>
        <rFont val="Calibri"/>
        <family val="2"/>
      </rPr>
      <t xml:space="preserve">P012BAND
	</t>
    </r>
    <r>
      <rPr>
        <b/>
        <sz val="9"/>
        <color rgb="FF000000"/>
        <rFont val="Calibri"/>
        <family val="2"/>
      </rPr>
      <t xml:space="preserve">ESQUEMA: </t>
    </r>
    <r>
      <rPr>
        <sz val="9"/>
        <color rgb="FF000000"/>
        <rFont val="Calibri"/>
        <family val="2"/>
      </rPr>
      <t xml:space="preserve">fnsonlm
	</t>
    </r>
    <r>
      <rPr>
        <b/>
        <sz val="9"/>
        <color rgb="FF000000"/>
        <rFont val="Calibri"/>
        <family val="2"/>
      </rPr>
      <t>PACKAGE:</t>
    </r>
    <r>
      <rPr>
        <sz val="9"/>
        <color rgb="FF000000"/>
        <rFont val="Calibri"/>
        <family val="2"/>
      </rPr>
      <t xml:space="preserve"> pkg_consulta_garantia_bpm
	</t>
    </r>
    <r>
      <rPr>
        <b/>
        <sz val="9"/>
        <color rgb="FF000000"/>
        <rFont val="Calibri"/>
        <family val="2"/>
      </rPr>
      <t>SP:</t>
    </r>
    <r>
      <rPr>
        <sz val="9"/>
        <color rgb="FF000000"/>
        <rFont val="Calibri"/>
        <family val="2"/>
      </rPr>
      <t xml:space="preserve"> prc_consulta_garantia
	</t>
    </r>
    <r>
      <rPr>
        <b/>
        <sz val="9"/>
        <color rgb="FF000000"/>
        <rFont val="Calibri"/>
        <family val="2"/>
      </rPr>
      <t>SP:</t>
    </r>
    <r>
      <rPr>
        <sz val="9"/>
        <color rgb="FF000000"/>
        <rFont val="Calibri"/>
        <family val="2"/>
      </rPr>
      <t xml:space="preserve"> PRC_CONSULTA_BIEN
	</t>
    </r>
    <r>
      <rPr>
        <b/>
        <sz val="9"/>
        <color rgb="FF000000"/>
        <rFont val="Calibri"/>
        <family val="2"/>
      </rPr>
      <t>SP:</t>
    </r>
    <r>
      <rPr>
        <sz val="9"/>
        <color rgb="FF000000"/>
        <rFont val="Calibri"/>
        <family val="2"/>
      </rPr>
      <t xml:space="preserve"> PRC_CONSULTA_COMPONENTE
PROD
BDD P012BAND
HOST DCP = PRECXDB003-scan.uio.bpichincha.com
HOST DCA = DRECXDB003-scan.uio.bpichincha.com
PORT = 10521
TEST
BDD M012BAND
HOST DCP = tsecldb006.uiotest.bpichinchatest.test
HOST DCA = tsecldb007.uiotest.bpichinchatest.test
PORT = 10521</t>
    </r>
  </si>
  <si>
    <t>BDD: BANCS P012BAND</t>
  </si>
  <si>
    <t>ConsultarInformacionGarantias01</t>
  </si>
  <si>
    <t>https://s.icepanel.io/wJSECZOwwNkkW8/01wr</t>
  </si>
  <si>
    <t>https://dev.azure.com/BancoPichinchaEC/adi-especificaciones-tecnicas/_git/adi-doc-tecspec-tribu-integracion-apis?path=/sp%20-%20Soporte/tpr-msa-sp-wsclientes0091</t>
  </si>
  <si>
    <t>ws-wsclientes0091-was - Repos</t>
  </si>
  <si>
    <t>https://pichincha.atlassian.net/browse/PCBG-508</t>
  </si>
  <si>
    <t>WSClientes0098</t>
  </si>
  <si>
    <t>Actualizar y crear transmisión de cliente en SFI</t>
  </si>
  <si>
    <r>
      <t xml:space="preserve">UMPClientes0100 --&gt; TransmisionClienteSFI
</t>
    </r>
    <r>
      <rPr>
        <b/>
        <sz val="9"/>
        <color rgb="FF000000"/>
        <rFont val="Calibri"/>
        <family val="2"/>
      </rPr>
      <t>BDD:</t>
    </r>
    <r>
      <rPr>
        <sz val="9"/>
        <color rgb="FF000000"/>
        <rFont val="Calibri"/>
        <family val="2"/>
      </rPr>
      <t xml:space="preserve"> CREDIFE
</t>
    </r>
    <r>
      <rPr>
        <b/>
        <sz val="9"/>
        <color rgb="FF000000"/>
        <rFont val="Calibri"/>
        <family val="2"/>
      </rPr>
      <t>SP</t>
    </r>
    <r>
      <rPr>
        <sz val="9"/>
        <color rgb="FF000000"/>
        <rFont val="Calibri"/>
        <family val="2"/>
      </rPr>
      <t>: CFE_TRANSMISIONCLIENTESS1_MVL
PROD
BDD CREDIFE
HOST = ECBPLSNQ31Q31
PORT = 11431
TEST
BDD CREDIFE
HOST = 10.0.93.218
PORT = 11456</t>
    </r>
  </si>
  <si>
    <t>1.09k</t>
  </si>
  <si>
    <t>1100ms</t>
  </si>
  <si>
    <t>ORQClientes0036
ORQClientes0035</t>
  </si>
  <si>
    <t>transmisionClienteSFI01</t>
  </si>
  <si>
    <t>https://s.icepanel.io/wJSECZOwwNkkW8/GqFu</t>
  </si>
  <si>
    <t>https://dev.azure.com/BancoPichinchaEC/adi-especificaciones-tecnicas/_git/adi-doc-tecspec-tribu-integracion-apis?path=/sp%20-%20Soporte/tnd-msa-sp-wsclientes0098</t>
  </si>
  <si>
    <t>ws-wsclientes0098-was - Repos</t>
  </si>
  <si>
    <t>https://pichincha.atlassian.net/browse/PCBG-415</t>
  </si>
  <si>
    <t>WSClientes0141</t>
  </si>
  <si>
    <t>Consulta tarjetas de debito asociadas a un cliente</t>
  </si>
  <si>
    <r>
      <t xml:space="preserve">UMPClientes0150 --&gt; consultarTarjetasDebitoCliente01
	</t>
    </r>
    <r>
      <rPr>
        <b/>
        <sz val="9"/>
        <color rgb="FF000000"/>
        <rFont val="Calibri"/>
        <family val="2"/>
      </rPr>
      <t xml:space="preserve">BDD: </t>
    </r>
    <r>
      <rPr>
        <sz val="9"/>
        <color rgb="FF000000"/>
        <rFont val="Calibri"/>
        <family val="2"/>
      </rPr>
      <t xml:space="preserve">PPRD
	</t>
    </r>
    <r>
      <rPr>
        <b/>
        <sz val="9"/>
        <color rgb="FF000000"/>
        <rFont val="Calibri"/>
        <family val="2"/>
      </rPr>
      <t>ESQUEMA:</t>
    </r>
    <r>
      <rPr>
        <sz val="9"/>
        <color rgb="FF000000"/>
        <rFont val="Calibri"/>
        <family val="2"/>
      </rPr>
      <t xml:space="preserve"> cardholder
	</t>
    </r>
    <r>
      <rPr>
        <b/>
        <sz val="9"/>
        <color rgb="FF000000"/>
        <rFont val="Calibri"/>
        <family val="2"/>
      </rPr>
      <t xml:space="preserve">PACKAGE: </t>
    </r>
    <r>
      <rPr>
        <sz val="9"/>
        <color rgb="FF000000"/>
        <rFont val="Calibri"/>
        <family val="2"/>
      </rPr>
      <t xml:space="preserve">pkg_chl_tarjeta
	</t>
    </r>
    <r>
      <rPr>
        <b/>
        <sz val="9"/>
        <color rgb="FF000000"/>
        <rFont val="Calibri"/>
        <family val="2"/>
      </rPr>
      <t>SP:</t>
    </r>
    <r>
      <rPr>
        <sz val="9"/>
        <color rgb="FF000000"/>
        <rFont val="Calibri"/>
        <family val="2"/>
      </rPr>
      <t xml:space="preserve"> prc_chl_tarjeta_cliente
PROD
BDD PPRD
HOST = siglo-scan
PORT = 10521
TEST
BDD DTST
HOST = siglo-tst-scan.uio.bpichincha.com
PORT = 10521</t>
    </r>
  </si>
  <si>
    <t>BDD PPRD</t>
  </si>
  <si>
    <t>542k</t>
  </si>
  <si>
    <t>ORQCientes0052
ORQProductos0014</t>
  </si>
  <si>
    <t>https://s.icepanel.io/wJSECZOwwNkkW8/vlnH</t>
  </si>
  <si>
    <t>https://dev.azure.com/BancoPichinchaEC/adi-especificaciones-tecnicas/_git/adi-doc-tecspec-tribu-integracion-apis?path=/sp%20-%20Soporte/tpr-msa-sp-wsclientes0141</t>
  </si>
  <si>
    <t>ws-wsclientes0141-was - Repos</t>
  </si>
  <si>
    <t>https://pichincha.atlassian.net/browse/PCBG-509</t>
  </si>
  <si>
    <t>WSClientes0154</t>
  </si>
  <si>
    <t>ConsultarOficialHomologado01 - Servicio que permite consulta los datos del motor de homologación en base al teller</t>
  </si>
  <si>
    <t>UMPClientes0161 - Consulta Usuario -&gt; jndi.clientes.homologacionCRM
BDD: MOTOR_HOMOLOGACION
Host: ecuio012q41, ecuio012q41.uio.bpichincha.com</t>
  </si>
  <si>
    <t>BDD: MOTOR_HOMOLOGACION</t>
  </si>
  <si>
    <t>41.2K</t>
  </si>
  <si>
    <t>59.9 ms</t>
  </si>
  <si>
    <t>ORQClientes0038
ORQClientes0048</t>
  </si>
  <si>
    <t>consultarOficialHomologado01</t>
  </si>
  <si>
    <t xml:space="preserve">No hay las fuentes de la UMPClientes0161. </t>
  </si>
  <si>
    <t>https://app.icepanel.io/landscapes/w71QNHgfDvF79GrSuA3r/versions/latest/diagrams/editor?diagram=TdxS2cwCdc&amp;model=WutCmrX504&amp;overlay_tab=tags&amp;x1=-637.8&amp;y1=-56&amp;x2=2157.9&amp;y2=1376</t>
  </si>
  <si>
    <t>https://dev.azure.com/BancoPichinchaEC/adi-especificaciones-tecnicas/_git/adi-doc-tecspec-tribu-integracion-apis?path=/sp%20-%20Soporte/csg-msa-sp-wsclientes0154</t>
  </si>
  <si>
    <t>https://dev.azure.com/BancoPichinchaEC/tpl-integration-services-was/_git/ws-wsclientes0154-was</t>
  </si>
  <si>
    <t>https://pichincha.atlassian.net/browse/PCBG-416</t>
  </si>
  <si>
    <t>WSClientes0155</t>
  </si>
  <si>
    <t>Consultar Oficial Homologado</t>
  </si>
  <si>
    <r>
      <rPr>
        <sz val="11"/>
        <color rgb="FF000000"/>
        <rFont val="Calibri"/>
        <family val="2"/>
      </rPr>
      <t xml:space="preserve">umpclientes0162 - Consulta Usuario -&gt; consultarTellerBean
jndi.clientes.homologacionCRM
</t>
    </r>
    <r>
      <rPr>
        <b/>
        <sz val="11"/>
        <color rgb="FF000000"/>
        <rFont val="Calibri"/>
        <family val="2"/>
      </rPr>
      <t>SP:</t>
    </r>
    <r>
      <rPr>
        <sz val="11"/>
        <color rgb="FF000000"/>
        <rFont val="Calibri"/>
        <family val="2"/>
      </rPr>
      <t xml:space="preserve"> PRO_HOM_SEL_USUARIOS
BDD: MOTOR_HOMOLOGACION
Host: ecuio012q41, ecuio012q41.uio.bpichincha.com</t>
    </r>
  </si>
  <si>
    <t>2.16k</t>
  </si>
  <si>
    <t>8.61ms</t>
  </si>
  <si>
    <t>consultarOficialHomologado02</t>
  </si>
  <si>
    <t>No hay las fuentes de la UMPClientes0162. RITM0733557</t>
  </si>
  <si>
    <t>https://s.icepanel.io/wJSECZOwwNkkW8/WmFs</t>
  </si>
  <si>
    <t>https://dev.azure.com/BancoPichinchaEC/adi-especificaciones-tecnicas/_git/adi-doc-tecspec-tribu-integracion-apis?version=GBmaster&amp;path=/sp%20-%20Soporte/tnd-msa-sp-wsclientes0155</t>
  </si>
  <si>
    <t>https://dev.azure.com/BancoPichinchaEC/tpl-bus-omnicanal/_git/sqb-msa-wsclientes0155</t>
  </si>
  <si>
    <t>https://pichincha.atlassian.net/browse/PCBG-510</t>
  </si>
  <si>
    <t>BDD INTERNEXO</t>
  </si>
  <si>
    <t>WSSeguridad0020</t>
  </si>
  <si>
    <t>CRUD hacia la BDD Internexo Personas</t>
  </si>
  <si>
    <t>umpseguridad0034 -&gt; EConsultaEntrada -&gt; jndi.internexo.cliente
umpseguridad0036 -&gt; IEliminarAfiliadoInternexo -&gt; jndi.internexo.cliente -&gt; Eliminar Informacion Cliente Internexo
umpseguridad0037 -&gt; IActualizarAfiliadoInternexo -&gt; jndi.internexo.cliente</t>
  </si>
  <si>
    <t>2.35K</t>
  </si>
  <si>
    <t>9.16 ms</t>
  </si>
  <si>
    <t>"TRIBU PRODUCTOS
TRIBU CANALES
TRIBU SEGMENTOS Y NEGOCIOS DIGITALES
TRIBU_DE_UNA
COE Seguridad"</t>
  </si>
  <si>
    <t>ORQClientes0004
ORQClientes0050
ORQSeguridad0004
ORQSeguridad0009
ORQSeguridad0021</t>
  </si>
  <si>
    <t>consultarAfiliado01
crearCliente22
actualizarCliente35
actualizarInformacion33
actualizarEstadoClienten34</t>
  </si>
  <si>
    <t>https://s.icepanel.io/wJSECZOwwNkkW8/7fCb</t>
  </si>
  <si>
    <t>https://dev.azure.com/BancoPichinchaEC/adi-especificaciones-tecnicas/_git/adi-doc-tecspec-tribu-integracion-apis?version=GBmaster&amp;path=/sp%20-%20Soporte/csg-msa-sp-wsseguridad0020</t>
  </si>
  <si>
    <t>https://dev.azure.com/BancoPichinchaEC/tpl-bus-omnicanal/_git/sqb-msa-wsseguridad0020</t>
  </si>
  <si>
    <t>https://pichincha.atlassian.net/browse/PCBG-417</t>
  </si>
  <si>
    <t>WSSeguridad0029</t>
  </si>
  <si>
    <t>Consulta Asesor Agencia Anclaje - PCBG-418</t>
  </si>
  <si>
    <t xml:space="preserve">umpseguridad0045 -&gt; ConsultaAsesorAgenciaAnclaje -&gt; jndi.siglo.seguridad
 "jdbc:oracle:thin:@(DESCRIPTION =(ADDRESS_LIST =(LOAD_BALANCE = OFF) (FAILOVER = ON) (ADDRESS = (PROTOCOL = TCP)(HOST = siglo-scan)(PORT = 10521))(ADDRESS = (PROTOCOL = TCP)(HOST = siglo-dca-scan)(PORT = 10521)))(CONNECT_DATA = (SERVER = DEDICATED)(SERVICE_NAME = srvpprd)))" </t>
  </si>
  <si>
    <t>BDD: srvpprd</t>
  </si>
  <si>
    <t>147K</t>
  </si>
  <si>
    <t>13 ms</t>
  </si>
  <si>
    <t>AREA MICROFINANZAS                   
"TRIBU SEGMENTOS Y NEGOCIOS DIGITALES
TRIBU CANALES"</t>
  </si>
  <si>
    <t>ORQClientes0017
ORQClientes0071</t>
  </si>
  <si>
    <t>consultaAsesorAgenciaAnclaje01</t>
  </si>
  <si>
    <t>https://s.icepanel.io/wJSECZOwwNkkW8/p4xV</t>
  </si>
  <si>
    <t>https://dev.azure.com/BancoPichinchaEC/adi-especificaciones-tecnicas/_git/adi-doc-tecspec-tribu-integracion-apis?version=GBmaster&amp;path=/sp%20-%20Soporte/tnd-msa-sp-wsseguridad0029</t>
  </si>
  <si>
    <t>https://dev.azure.com/BancoPichinchaEC/tpl-bus-omnicanal/_git/sqb-msa-wsseguridad0029</t>
  </si>
  <si>
    <t>https://pichincha.atlassian.net/browse/PCBG-418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</si>
</sst>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8"/>
      <color rgb="FF292A2E"/>
      <name val="Segoe UI"/>
      <family val="2"/>
    </font>
    <font>
      <b/>
      <sz val="8"/>
      <color rgb="FF292A2E"/>
      <name val="Segoe UI"/>
      <family val="2"/>
    </font>
    <font>
      <sz val="9"/>
      <color theme="1"/>
      <name val="Calibri"/>
      <family val="2"/>
      <scheme val="minor"/>
    </font>
    <font>
      <b/>
      <sz val="10"/>
      <color theme="1"/>
      <name val="Calibri"/>
      <family val="2"/>
      <scheme val="minor"/>
    </font>
    <font>
      <b/>
      <sz val="11"/>
      <color theme="1"/>
      <name val="Calibri"/>
      <family val="2"/>
      <scheme val="minor"/>
    </font>
    <font>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sz val="11"/>
      <color rgb="FF000000"/>
      <name val="Calibri"/>
      <family val="2"/>
      <scheme val="minor"/>
    </font>
    <font>
      <sz val="9"/>
      <color rgb="FF000000"/>
      <name val="Calibri"/>
      <family val="2"/>
      <scheme val="minor"/>
    </font>
    <font>
      <sz val="11"/>
      <color rgb="FFFF0000"/>
      <name val="Calibri"/>
      <family val="2"/>
      <scheme val="minor"/>
    </font>
    <font>
      <b/>
      <sz val="11"/>
      <color rgb="FF000000"/>
      <name val="Calibri"/>
      <family val="2"/>
    </font>
    <font>
      <u/>
      <sz val="11"/>
      <color theme="10"/>
      <name val="Calibri"/>
      <family val="2"/>
      <scheme val="minor"/>
    </font>
    <font>
      <sz val="11"/>
      <color rgb="FF242424"/>
      <name val="Aptos Narrow"/>
    </font>
    <font>
      <sz val="12"/>
      <color rgb="FF292A2E"/>
      <name val="Atlassian Sans"/>
      <charset val="1"/>
    </font>
    <font>
      <sz val="9"/>
      <color rgb="FF000000"/>
      <name val="Calibri"/>
      <family val="2"/>
      <scheme val="minor"/>
    </font>
    <font>
      <b/>
      <sz val="9"/>
      <color rgb="FF000000"/>
      <name val="Calibri"/>
      <family val="2"/>
    </font>
    <font>
      <sz val="9"/>
      <color rgb="FF000000"/>
      <name val="Calibri"/>
      <family val="2"/>
    </font>
    <font>
      <sz val="8"/>
      <name val="Calibri"/>
      <family val="2"/>
      <scheme val="minor"/>
    </font>
  </fonts>
  <fills count="11">
    <fill>
      <patternFill patternType="none"/>
    </fill>
    <fill>
      <patternFill patternType="gray125"/>
    </fill>
    <fill>
      <patternFill patternType="solid">
        <fgColor rgb="FFFFFFFF"/>
        <bgColor indexed="64"/>
      </patternFill>
    </fill>
    <fill>
      <patternFill patternType="solid">
        <fgColor rgb="FFF0F1F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BDD7EE"/>
        <bgColor rgb="FF000000"/>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15" fillId="0" borderId="0" applyNumberFormat="0" applyFill="0" applyBorder="0" applyAlignment="0" applyProtection="0"/>
    <xf numFmtId="0" fontId="15" fillId="0" borderId="0" applyNumberFormat="0" applyFill="0" applyBorder="0" applyAlignment="0" applyProtection="0"/>
  </cellStyleXfs>
  <cellXfs count="170">
    <xf numFmtId="0" fontId="0" fillId="0" borderId="0" xfId="0"/>
    <xf numFmtId="0" fontId="2"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5" fillId="0" borderId="0" xfId="0" applyFont="1"/>
    <xf numFmtId="0" fontId="0" fillId="4" borderId="0" xfId="0" applyFill="1"/>
    <xf numFmtId="0" fontId="2" fillId="2" borderId="2" xfId="0" applyFont="1" applyFill="1" applyBorder="1" applyAlignment="1">
      <alignment horizontal="left" vertical="center" wrapText="1"/>
    </xf>
    <xf numFmtId="0" fontId="2" fillId="5" borderId="1" xfId="0" applyFont="1" applyFill="1" applyBorder="1" applyAlignment="1">
      <alignment horizontal="left" vertical="center" wrapText="1"/>
    </xf>
    <xf numFmtId="0" fontId="0" fillId="6" borderId="0" xfId="0" applyFill="1"/>
    <xf numFmtId="0" fontId="0" fillId="0" borderId="3" xfId="0" applyBorder="1"/>
    <xf numFmtId="0" fontId="4" fillId="0" borderId="3" xfId="0" applyFont="1" applyBorder="1" applyAlignment="1">
      <alignment wrapText="1"/>
    </xf>
    <xf numFmtId="0" fontId="4" fillId="6" borderId="3" xfId="0" applyFont="1" applyFill="1" applyBorder="1" applyAlignment="1">
      <alignment wrapText="1"/>
    </xf>
    <xf numFmtId="0" fontId="4" fillId="4" borderId="3" xfId="0" applyFont="1" applyFill="1" applyBorder="1" applyAlignment="1">
      <alignment wrapText="1"/>
    </xf>
    <xf numFmtId="0" fontId="0" fillId="6" borderId="3" xfId="0" applyFill="1" applyBorder="1"/>
    <xf numFmtId="0" fontId="0" fillId="0" borderId="3" xfId="0" applyBorder="1" applyAlignment="1">
      <alignment vertical="center"/>
    </xf>
    <xf numFmtId="0" fontId="6" fillId="0" borderId="3" xfId="0" applyFont="1" applyBorder="1" applyAlignment="1">
      <alignment horizontal="center"/>
    </xf>
    <xf numFmtId="0" fontId="0" fillId="0" borderId="4" xfId="0" applyBorder="1"/>
    <xf numFmtId="0" fontId="0" fillId="6" borderId="3" xfId="0" applyFill="1" applyBorder="1" applyAlignment="1">
      <alignment wrapText="1"/>
    </xf>
    <xf numFmtId="0" fontId="0" fillId="6" borderId="3" xfId="0" applyFill="1" applyBorder="1" applyAlignment="1">
      <alignment vertical="center" wrapText="1"/>
    </xf>
    <xf numFmtId="0" fontId="0" fillId="6" borderId="3" xfId="0" applyFill="1" applyBorder="1" applyAlignment="1">
      <alignment horizontal="left" wrapText="1"/>
    </xf>
    <xf numFmtId="0" fontId="0" fillId="6" borderId="3" xfId="0" applyFill="1" applyBorder="1" applyAlignment="1">
      <alignment horizontal="left" vertical="center" wrapText="1"/>
    </xf>
    <xf numFmtId="9" fontId="0" fillId="6" borderId="3" xfId="0" applyNumberFormat="1" applyFill="1" applyBorder="1" applyAlignment="1">
      <alignment wrapText="1"/>
    </xf>
    <xf numFmtId="0" fontId="0" fillId="7" borderId="3" xfId="0" applyFill="1" applyBorder="1"/>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4" fillId="6" borderId="3" xfId="0" applyFont="1" applyFill="1" applyBorder="1" applyAlignment="1">
      <alignment horizontal="center" vertical="center" wrapText="1"/>
    </xf>
    <xf numFmtId="0" fontId="0" fillId="0" borderId="3" xfId="0" applyBorder="1" applyAlignment="1">
      <alignment horizontal="left" vertical="center"/>
    </xf>
    <xf numFmtId="0" fontId="0" fillId="0" borderId="3" xfId="0"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0" fillId="6" borderId="3" xfId="0" applyFill="1" applyBorder="1" applyAlignment="1">
      <alignment horizontal="center" vertical="center"/>
    </xf>
    <xf numFmtId="0" fontId="0" fillId="6" borderId="3" xfId="0" applyFill="1" applyBorder="1" applyAlignment="1">
      <alignment horizontal="center" vertical="center" wrapText="1"/>
    </xf>
    <xf numFmtId="0" fontId="0" fillId="6" borderId="4" xfId="0" applyFill="1" applyBorder="1"/>
    <xf numFmtId="0" fontId="0" fillId="6" borderId="4" xfId="0" applyFill="1" applyBorder="1" applyAlignment="1">
      <alignment horizontal="center" vertical="center"/>
    </xf>
    <xf numFmtId="0" fontId="5" fillId="0" borderId="5" xfId="0" applyFont="1" applyBorder="1" applyAlignment="1">
      <alignment horizontal="center" vertical="center"/>
    </xf>
    <xf numFmtId="0" fontId="4" fillId="0" borderId="3" xfId="0" applyFont="1" applyBorder="1" applyAlignment="1">
      <alignment vertical="center" wrapText="1"/>
    </xf>
    <xf numFmtId="0" fontId="0" fillId="6" borderId="3" xfId="0" applyFill="1" applyBorder="1" applyAlignment="1">
      <alignment vertical="center"/>
    </xf>
    <xf numFmtId="0" fontId="0" fillId="0" borderId="0" xfId="0" applyAlignment="1">
      <alignment vertical="center"/>
    </xf>
    <xf numFmtId="0" fontId="0" fillId="0" borderId="3" xfId="0" applyBorder="1" applyAlignment="1">
      <alignment horizontal="left" vertical="center" wrapText="1"/>
    </xf>
    <xf numFmtId="0" fontId="0" fillId="6" borderId="3" xfId="0" applyFill="1" applyBorder="1" applyAlignment="1">
      <alignment horizontal="left" vertical="center"/>
    </xf>
    <xf numFmtId="0" fontId="4" fillId="4" borderId="3" xfId="0" applyFont="1" applyFill="1" applyBorder="1" applyAlignment="1">
      <alignment vertical="center" wrapText="1"/>
    </xf>
    <xf numFmtId="0" fontId="7" fillId="6" borderId="3" xfId="0" applyFont="1" applyFill="1" applyBorder="1" applyAlignment="1">
      <alignment wrapText="1"/>
    </xf>
    <xf numFmtId="0" fontId="0" fillId="8" borderId="0" xfId="0" applyFill="1"/>
    <xf numFmtId="0" fontId="0" fillId="6" borderId="4" xfId="0" applyFill="1" applyBorder="1" applyAlignment="1">
      <alignment wrapText="1"/>
    </xf>
    <xf numFmtId="0" fontId="0" fillId="0" borderId="3" xfId="0" applyBorder="1" applyAlignment="1">
      <alignment vertical="center" wrapText="1"/>
    </xf>
    <xf numFmtId="0" fontId="0" fillId="6" borderId="6" xfId="0" applyFill="1" applyBorder="1" applyAlignment="1">
      <alignment wrapText="1"/>
    </xf>
    <xf numFmtId="0" fontId="10" fillId="9" borderId="3" xfId="0" applyFont="1" applyFill="1" applyBorder="1"/>
    <xf numFmtId="0" fontId="11" fillId="6" borderId="3" xfId="0" applyFont="1" applyFill="1" applyBorder="1" applyAlignment="1">
      <alignment vertical="center" wrapText="1"/>
    </xf>
    <xf numFmtId="0" fontId="11" fillId="0" borderId="0" xfId="0" applyFont="1"/>
    <xf numFmtId="0" fontId="11" fillId="0" borderId="3" xfId="0" applyFont="1" applyBorder="1" applyAlignment="1">
      <alignment horizontal="center" vertical="center"/>
    </xf>
    <xf numFmtId="0" fontId="0" fillId="0" borderId="3" xfId="0" applyBorder="1" applyAlignment="1">
      <alignment wrapText="1"/>
    </xf>
    <xf numFmtId="0" fontId="0" fillId="6" borderId="3" xfId="0" applyFill="1" applyBorder="1" applyAlignment="1">
      <alignment vertical="top" wrapText="1"/>
    </xf>
    <xf numFmtId="0" fontId="0" fillId="6" borderId="0" xfId="0" applyFill="1" applyAlignment="1">
      <alignment wrapText="1"/>
    </xf>
    <xf numFmtId="0" fontId="0" fillId="6" borderId="4" xfId="0" applyFill="1" applyBorder="1" applyAlignment="1">
      <alignment horizontal="center" vertical="center" wrapText="1"/>
    </xf>
    <xf numFmtId="0" fontId="0" fillId="10" borderId="3" xfId="0" applyFill="1" applyBorder="1"/>
    <xf numFmtId="0" fontId="11" fillId="6" borderId="3" xfId="0" applyFont="1" applyFill="1" applyBorder="1" applyAlignment="1">
      <alignment wrapText="1"/>
    </xf>
    <xf numFmtId="0" fontId="9" fillId="6" borderId="3" xfId="0" applyFont="1" applyFill="1" applyBorder="1" applyAlignment="1">
      <alignment vertical="center" wrapText="1"/>
    </xf>
    <xf numFmtId="0" fontId="11" fillId="6" borderId="3" xfId="0" applyFont="1" applyFill="1" applyBorder="1" applyAlignment="1">
      <alignment horizontal="left" vertical="center" wrapText="1"/>
    </xf>
    <xf numFmtId="0" fontId="5" fillId="8" borderId="3" xfId="0" applyFont="1" applyFill="1" applyBorder="1" applyAlignment="1">
      <alignment horizontal="center" vertical="center" wrapText="1"/>
    </xf>
    <xf numFmtId="0" fontId="0" fillId="8" borderId="3" xfId="0" applyFill="1" applyBorder="1"/>
    <xf numFmtId="0" fontId="0" fillId="8" borderId="3" xfId="0" applyFill="1" applyBorder="1" applyAlignment="1">
      <alignment horizontal="center" vertical="center"/>
    </xf>
    <xf numFmtId="0" fontId="5" fillId="8" borderId="4" xfId="0" applyFont="1" applyFill="1" applyBorder="1" applyAlignment="1">
      <alignment horizontal="center" vertical="center" wrapText="1"/>
    </xf>
    <xf numFmtId="0" fontId="0" fillId="8" borderId="0" xfId="0" applyFill="1" applyAlignment="1">
      <alignment horizontal="center" vertical="center"/>
    </xf>
    <xf numFmtId="0" fontId="4" fillId="4" borderId="3" xfId="0" applyFont="1" applyFill="1" applyBorder="1" applyAlignment="1">
      <alignment horizontal="left" vertical="center" wrapText="1"/>
    </xf>
    <xf numFmtId="0" fontId="12" fillId="0" borderId="3" xfId="0" applyFont="1" applyBorder="1" applyAlignment="1">
      <alignment vertical="center" wrapText="1"/>
    </xf>
    <xf numFmtId="0" fontId="11" fillId="0" borderId="3" xfId="0" applyFont="1" applyBorder="1" applyAlignment="1">
      <alignment vertical="center"/>
    </xf>
    <xf numFmtId="0" fontId="0" fillId="6" borderId="6" xfId="0" applyFill="1" applyBorder="1" applyAlignment="1">
      <alignment vertical="center"/>
    </xf>
    <xf numFmtId="0" fontId="0" fillId="6" borderId="0" xfId="0" applyFill="1" applyAlignment="1">
      <alignment horizontal="center" vertical="center"/>
    </xf>
    <xf numFmtId="0" fontId="0" fillId="6" borderId="6" xfId="0" applyFill="1" applyBorder="1" applyAlignment="1">
      <alignment horizontal="left" vertical="center"/>
    </xf>
    <xf numFmtId="0" fontId="0" fillId="0" borderId="4" xfId="0" applyBorder="1" applyAlignment="1">
      <alignment vertical="center"/>
    </xf>
    <xf numFmtId="0" fontId="0" fillId="0" borderId="5" xfId="0" applyBorder="1" applyAlignment="1">
      <alignment horizontal="center" vertical="center"/>
    </xf>
    <xf numFmtId="0" fontId="0" fillId="6" borderId="4" xfId="0" applyFill="1" applyBorder="1" applyAlignment="1">
      <alignment vertical="center"/>
    </xf>
    <xf numFmtId="0" fontId="0" fillId="0" borderId="4" xfId="0" applyBorder="1" applyAlignment="1">
      <alignment vertical="center" wrapText="1"/>
    </xf>
    <xf numFmtId="0" fontId="10" fillId="6" borderId="3" xfId="0" applyFont="1" applyFill="1" applyBorder="1" applyAlignment="1">
      <alignment wrapText="1"/>
    </xf>
    <xf numFmtId="0" fontId="13" fillId="0" borderId="3" xfId="0" applyFont="1" applyBorder="1"/>
    <xf numFmtId="0" fontId="0" fillId="0" borderId="4" xfId="0" applyBorder="1" applyAlignment="1">
      <alignment horizontal="left" vertical="center"/>
    </xf>
    <xf numFmtId="0" fontId="0" fillId="0" borderId="0" xfId="0" applyAlignment="1">
      <alignment horizontal="left" vertical="center"/>
    </xf>
    <xf numFmtId="0" fontId="0" fillId="6" borderId="3" xfId="0" applyFill="1" applyBorder="1" applyAlignment="1">
      <alignment horizontal="center"/>
    </xf>
    <xf numFmtId="0" fontId="0" fillId="6" borderId="0" xfId="0" applyFill="1" applyAlignment="1">
      <alignment horizontal="center"/>
    </xf>
    <xf numFmtId="0" fontId="4" fillId="6" borderId="3" xfId="0" applyFont="1" applyFill="1" applyBorder="1" applyAlignment="1">
      <alignment vertical="center" wrapText="1"/>
    </xf>
    <xf numFmtId="0" fontId="15" fillId="0" borderId="3" xfId="1" applyBorder="1" applyAlignment="1">
      <alignment wrapText="1"/>
    </xf>
    <xf numFmtId="0" fontId="15" fillId="6" borderId="4" xfId="1" applyFill="1" applyBorder="1" applyAlignment="1">
      <alignment wrapText="1"/>
    </xf>
    <xf numFmtId="0" fontId="15" fillId="0" borderId="0" xfId="1"/>
    <xf numFmtId="0" fontId="15" fillId="6" borderId="3" xfId="1" applyFill="1" applyBorder="1"/>
    <xf numFmtId="0" fontId="16" fillId="2" borderId="0" xfId="0" applyFont="1" applyFill="1" applyAlignment="1">
      <alignment wrapText="1"/>
    </xf>
    <xf numFmtId="0" fontId="10" fillId="0" borderId="3" xfId="0" applyFont="1" applyBorder="1"/>
    <xf numFmtId="0" fontId="15" fillId="6" borderId="3" xfId="1" applyFill="1" applyBorder="1" applyAlignment="1">
      <alignment wrapText="1"/>
    </xf>
    <xf numFmtId="0" fontId="15" fillId="0" borderId="3" xfId="2" applyBorder="1" applyAlignment="1">
      <alignment wrapText="1"/>
    </xf>
    <xf numFmtId="0" fontId="15" fillId="0" borderId="0" xfId="2"/>
    <xf numFmtId="0" fontId="15" fillId="0" borderId="3" xfId="2" applyBorder="1"/>
    <xf numFmtId="0" fontId="4" fillId="0" borderId="3" xfId="0" applyFont="1" applyBorder="1" applyAlignment="1">
      <alignment horizontal="left" wrapText="1"/>
    </xf>
    <xf numFmtId="0" fontId="15" fillId="0" borderId="0" xfId="1" applyAlignment="1">
      <alignment wrapText="1"/>
    </xf>
    <xf numFmtId="0" fontId="10" fillId="0" borderId="3" xfId="0" applyFont="1" applyBorder="1" applyAlignment="1">
      <alignment vertical="center"/>
    </xf>
    <xf numFmtId="0" fontId="5" fillId="0" borderId="0" xfId="0" applyFont="1" applyAlignment="1">
      <alignment horizontal="center" vertical="center"/>
    </xf>
    <xf numFmtId="0" fontId="15" fillId="0" borderId="3" xfId="1" applyBorder="1" applyAlignment="1">
      <alignment horizontal="center" vertical="center" wrapText="1"/>
    </xf>
    <xf numFmtId="0" fontId="5" fillId="6" borderId="3" xfId="0" applyFont="1" applyFill="1" applyBorder="1" applyAlignment="1">
      <alignment horizontal="left" vertical="center" wrapText="1"/>
    </xf>
    <xf numFmtId="0" fontId="15" fillId="0" borderId="0" xfId="1" applyAlignment="1">
      <alignment horizontal="left" vertical="center" wrapText="1"/>
    </xf>
    <xf numFmtId="0" fontId="15" fillId="0" borderId="3" xfId="1" applyBorder="1" applyAlignment="1">
      <alignment horizontal="left" vertical="center" wrapText="1"/>
    </xf>
    <xf numFmtId="0" fontId="0" fillId="6" borderId="0" xfId="0" applyFill="1" applyAlignment="1">
      <alignment horizontal="left" vertical="center" wrapText="1"/>
    </xf>
    <xf numFmtId="0" fontId="6" fillId="0" borderId="0" xfId="0" applyFont="1"/>
    <xf numFmtId="0" fontId="17" fillId="0" borderId="3" xfId="0" applyFont="1" applyBorder="1"/>
    <xf numFmtId="0" fontId="0" fillId="6" borderId="0" xfId="0" applyFill="1" applyAlignment="1">
      <alignment vertical="center"/>
    </xf>
    <xf numFmtId="0" fontId="15" fillId="0" borderId="0" xfId="2" applyAlignment="1">
      <alignment vertical="center" wrapText="1"/>
    </xf>
    <xf numFmtId="0" fontId="15" fillId="0" borderId="3" xfId="2" applyBorder="1" applyAlignment="1">
      <alignment horizontal="left" vertical="center" wrapText="1"/>
    </xf>
    <xf numFmtId="0" fontId="5" fillId="0" borderId="4" xfId="0" applyFont="1" applyBorder="1" applyAlignment="1">
      <alignment horizontal="center" vertical="center" wrapText="1"/>
    </xf>
    <xf numFmtId="0" fontId="0" fillId="0" borderId="6" xfId="0" applyBorder="1"/>
    <xf numFmtId="0" fontId="0" fillId="0" borderId="4" xfId="0" applyBorder="1" applyAlignment="1">
      <alignment wrapText="1"/>
    </xf>
    <xf numFmtId="0" fontId="0" fillId="0" borderId="3" xfId="0" applyBorder="1" applyAlignment="1">
      <alignment horizontal="center"/>
    </xf>
    <xf numFmtId="0" fontId="15" fillId="0" borderId="4" xfId="1" applyFill="1" applyBorder="1" applyAlignment="1">
      <alignment wrapText="1"/>
    </xf>
    <xf numFmtId="0" fontId="9" fillId="0" borderId="3" xfId="0" applyFont="1" applyBorder="1" applyAlignment="1">
      <alignment vertical="center" wrapText="1"/>
    </xf>
    <xf numFmtId="0" fontId="0" fillId="0" borderId="4" xfId="0" applyBorder="1" applyAlignment="1">
      <alignment horizontal="center" vertical="center" wrapText="1"/>
    </xf>
    <xf numFmtId="0" fontId="15" fillId="0" borderId="0" xfId="1" applyFill="1" applyAlignment="1">
      <alignment horizontal="left" vertical="center" wrapText="1"/>
    </xf>
    <xf numFmtId="0" fontId="15" fillId="0" borderId="3" xfId="1" applyFill="1" applyBorder="1" applyAlignment="1">
      <alignment horizontal="left" vertical="center" wrapText="1"/>
    </xf>
    <xf numFmtId="0" fontId="15" fillId="0" borderId="3" xfId="1" applyBorder="1" applyAlignment="1">
      <alignment horizontal="center" vertical="center"/>
    </xf>
    <xf numFmtId="0" fontId="0" fillId="0" borderId="6" xfId="0" applyBorder="1" applyAlignment="1">
      <alignment horizontal="center" vertical="center"/>
    </xf>
    <xf numFmtId="0" fontId="0" fillId="6" borderId="5" xfId="0" applyFill="1" applyBorder="1" applyAlignment="1">
      <alignment horizontal="center" vertical="center"/>
    </xf>
    <xf numFmtId="0" fontId="4" fillId="4" borderId="3" xfId="0" applyFont="1" applyFill="1" applyBorder="1" applyAlignment="1">
      <alignment horizontal="center" vertical="center" wrapText="1"/>
    </xf>
    <xf numFmtId="0" fontId="15" fillId="0" borderId="0" xfId="2" applyAlignment="1">
      <alignment wrapText="1"/>
    </xf>
    <xf numFmtId="0" fontId="15" fillId="0" borderId="0" xfId="2" applyAlignment="1">
      <alignment horizontal="left" vertical="center"/>
    </xf>
    <xf numFmtId="0" fontId="15" fillId="0" borderId="0" xfId="2" applyAlignment="1">
      <alignment vertical="center"/>
    </xf>
    <xf numFmtId="0" fontId="15" fillId="8" borderId="0" xfId="2" applyFill="1"/>
    <xf numFmtId="0" fontId="15" fillId="0" borderId="0" xfId="2" applyAlignment="1">
      <alignment horizontal="center" vertical="center"/>
    </xf>
    <xf numFmtId="0" fontId="15" fillId="0" borderId="4" xfId="2" applyBorder="1" applyAlignment="1">
      <alignment horizontal="left" vertical="center" wrapText="1"/>
    </xf>
    <xf numFmtId="0" fontId="0" fillId="6" borderId="7" xfId="0" applyFill="1" applyBorder="1" applyAlignment="1">
      <alignment wrapText="1"/>
    </xf>
    <xf numFmtId="0" fontId="0" fillId="4" borderId="0" xfId="0" applyFill="1" applyAlignment="1">
      <alignment horizontal="center"/>
    </xf>
    <xf numFmtId="0" fontId="0" fillId="0" borderId="0" xfId="0" applyAlignment="1">
      <alignment horizontal="center"/>
    </xf>
    <xf numFmtId="0" fontId="0" fillId="6" borderId="0" xfId="0" applyFill="1" applyAlignment="1">
      <alignment horizontal="center" vertical="center" wrapText="1"/>
    </xf>
    <xf numFmtId="0" fontId="15" fillId="0" borderId="0" xfId="1" applyAlignment="1">
      <alignment horizontal="center" vertical="center" wrapText="1"/>
    </xf>
    <xf numFmtId="0" fontId="15" fillId="0" borderId="0" xfId="2" applyAlignment="1">
      <alignment horizontal="center" vertical="center" wrapText="1"/>
    </xf>
    <xf numFmtId="0" fontId="15" fillId="0" borderId="0" xfId="1" applyFill="1" applyAlignment="1">
      <alignment horizontal="center" vertical="center" wrapText="1"/>
    </xf>
    <xf numFmtId="0" fontId="15" fillId="0" borderId="0" xfId="1" applyFill="1" applyAlignment="1">
      <alignment wrapText="1"/>
    </xf>
    <xf numFmtId="0" fontId="0" fillId="0" borderId="0" xfId="0" applyAlignment="1">
      <alignment wrapText="1"/>
    </xf>
    <xf numFmtId="0" fontId="15" fillId="6" borderId="3" xfId="1" applyFill="1" applyBorder="1" applyAlignment="1">
      <alignment vertical="center" wrapText="1"/>
    </xf>
    <xf numFmtId="0" fontId="15" fillId="6" borderId="3" xfId="2" applyFill="1" applyBorder="1" applyAlignment="1">
      <alignment vertical="center" wrapText="1"/>
    </xf>
    <xf numFmtId="0" fontId="0" fillId="8" borderId="3" xfId="0" applyFill="1" applyBorder="1" applyAlignment="1">
      <alignment wrapText="1"/>
    </xf>
    <xf numFmtId="0" fontId="15" fillId="6" borderId="3" xfId="2" applyFill="1" applyBorder="1" applyAlignment="1">
      <alignment wrapText="1"/>
    </xf>
    <xf numFmtId="0" fontId="15" fillId="6" borderId="0" xfId="2" applyFill="1" applyAlignment="1">
      <alignment wrapText="1"/>
    </xf>
    <xf numFmtId="0" fontId="15" fillId="0" borderId="0" xfId="2" applyFill="1" applyAlignment="1">
      <alignment wrapText="1"/>
    </xf>
    <xf numFmtId="0" fontId="15" fillId="0" borderId="3" xfId="2" applyFill="1" applyBorder="1" applyAlignment="1">
      <alignment horizontal="left" vertical="center" wrapText="1"/>
    </xf>
    <xf numFmtId="0" fontId="4" fillId="6" borderId="3" xfId="0" applyFont="1" applyFill="1" applyBorder="1" applyAlignment="1">
      <alignment horizontal="center" wrapText="1"/>
    </xf>
    <xf numFmtId="0" fontId="0" fillId="6" borderId="3" xfId="0" applyFill="1" applyBorder="1" applyAlignment="1">
      <alignment horizontal="center" wrapText="1"/>
    </xf>
    <xf numFmtId="0" fontId="0" fillId="6" borderId="0" xfId="0" applyFill="1" applyAlignment="1">
      <alignment horizontal="center" wrapText="1"/>
    </xf>
    <xf numFmtId="0" fontId="9" fillId="6" borderId="3" xfId="0" applyFont="1" applyFill="1" applyBorder="1" applyAlignment="1">
      <alignment horizontal="center" vertical="center" wrapText="1"/>
    </xf>
    <xf numFmtId="0" fontId="0" fillId="8" borderId="3" xfId="0" applyFill="1" applyBorder="1" applyAlignment="1">
      <alignment horizontal="center" vertical="center" wrapText="1"/>
    </xf>
    <xf numFmtId="0" fontId="4" fillId="0" borderId="3" xfId="0" applyFont="1" applyBorder="1" applyAlignment="1">
      <alignment horizontal="center" wrapText="1"/>
    </xf>
    <xf numFmtId="0" fontId="20" fillId="6"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12" fillId="6" borderId="3" xfId="0" applyFont="1" applyFill="1" applyBorder="1" applyAlignment="1">
      <alignment horizontal="left" vertical="center" wrapText="1"/>
    </xf>
    <xf numFmtId="0" fontId="20" fillId="6" borderId="3" xfId="0" applyFont="1" applyFill="1" applyBorder="1" applyAlignment="1">
      <alignment vertical="center" wrapText="1"/>
    </xf>
    <xf numFmtId="0" fontId="18" fillId="6" borderId="3" xfId="0" applyFont="1" applyFill="1" applyBorder="1" applyAlignment="1">
      <alignment horizontal="left" vertical="center" wrapText="1"/>
    </xf>
    <xf numFmtId="0" fontId="20" fillId="0" borderId="3" xfId="0" applyFont="1" applyBorder="1" applyAlignment="1">
      <alignment horizontal="left" vertical="center" wrapText="1"/>
    </xf>
    <xf numFmtId="0" fontId="18" fillId="0" borderId="3" xfId="0" applyFont="1" applyBorder="1" applyAlignment="1">
      <alignment horizontal="left" vertical="center" wrapText="1"/>
    </xf>
    <xf numFmtId="0" fontId="20" fillId="0" borderId="3" xfId="0" applyFont="1" applyBorder="1" applyAlignment="1">
      <alignment vertical="center" wrapText="1"/>
    </xf>
    <xf numFmtId="0" fontId="20" fillId="6" borderId="6" xfId="0" applyFont="1" applyFill="1" applyBorder="1" applyAlignment="1">
      <alignment vertical="center" wrapText="1"/>
    </xf>
    <xf numFmtId="0" fontId="18" fillId="6" borderId="0" xfId="0" applyFont="1" applyFill="1" applyAlignment="1">
      <alignment horizontal="left" vertical="center" wrapText="1"/>
    </xf>
    <xf numFmtId="0" fontId="12" fillId="0" borderId="3" xfId="0" applyFont="1" applyBorder="1" applyAlignment="1">
      <alignment horizontal="center" vertical="center" wrapText="1"/>
    </xf>
    <xf numFmtId="0" fontId="15" fillId="0" borderId="7" xfId="1" applyBorder="1" applyAlignment="1">
      <alignment wrapText="1"/>
    </xf>
    <xf numFmtId="0" fontId="15" fillId="0" borderId="6" xfId="1" applyBorder="1" applyAlignment="1">
      <alignment wrapText="1"/>
    </xf>
    <xf numFmtId="0" fontId="0" fillId="0" borderId="5" xfId="0" applyBorder="1" applyAlignment="1">
      <alignment horizontal="center"/>
    </xf>
    <xf numFmtId="0" fontId="0" fillId="0" borderId="0" xfId="0" applyAlignment="1">
      <alignment vertical="center" wrapText="1"/>
    </xf>
    <xf numFmtId="0" fontId="11" fillId="0" borderId="3" xfId="0" applyFont="1" applyBorder="1" applyAlignment="1">
      <alignment vertical="center" wrapText="1"/>
    </xf>
    <xf numFmtId="0" fontId="5" fillId="6" borderId="4" xfId="0" applyFont="1" applyFill="1" applyBorder="1" applyAlignment="1">
      <alignment horizontal="center" vertical="center" wrapText="1"/>
    </xf>
    <xf numFmtId="0" fontId="1" fillId="6" borderId="3" xfId="0" applyFont="1" applyFill="1" applyBorder="1" applyAlignment="1">
      <alignment wrapText="1"/>
    </xf>
  </cellXfs>
  <cellStyles count="3">
    <cellStyle name="Hipervínculo" xfId="1" builtinId="8"/>
    <cellStyle name="Hyperlink" xfId="2" xr:uid="{00000000-000B-0000-0000-000008000000}"/>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los Rivera" id="{49E94C01-1203-430E-959A-0BE21CA55F06}">
    <nsvFilter filterId="{00000000-0001-0000-0100-000000000000}" ref="A1:BC944" tableId="0">
      <columnFilter colId="47">
        <filter colId="47">
          <x:filters>
            <x:filter val="3"/>
          </x:filters>
        </filter>
      </columnFilter>
    </nsvFilter>
  </namedSheetView>
  <namedSheetView name="Edison" id="{F02F0B3A-02FD-4B4F-931E-D927D61635B1}">
    <nsvFilter filterId="{00000000-0001-0000-0100-000000000000}" ref="A1:BC944" tableId="0">
      <columnFilter colId="47">
        <filter colId="47">
          <x:filters>
            <x:filter val="3"/>
          </x:filters>
        </filter>
      </columnFilter>
    </nsvFilter>
  </namedSheetView>
  <namedSheetView name="Vista 1" id="{C9305357-34ED-4F0D-9A89-1CEAF9FF3F6B}">
    <nsvFilter filterId="{00000000-0001-0000-0100-000000000000}" ref="A1:BC944" tableId="0"/>
  </namedSheetView>
  <namedSheetView name="Vista 2" id="{5A708A47-F28C-4B35-A240-B57716B3EC1A}">
    <nsvFilter filterId="{00000000-0001-0000-0100-000000000000}" ref="A1:BC944" tableId="0">
      <columnFilter colId="47">
        <filter colId="47">
          <x:filters>
            <x:filter val="3"/>
          </x:filters>
        </filter>
      </columnFilter>
    </nsvFilter>
  </namedSheetView>
  <namedSheetView name="Vista 3" id="{28FB314E-5927-42F7-A048-611DD815F034}"/>
  <namedSheetView name="VistaLorena" id="{14DF7A6B-CDBB-4EDD-8207-F497EFB524FF}"/>
  <namedSheetView name="ZDKronecker" id="{1CD65597-015D-484F-A3A0-26C09A2E81FA}"/>
</namedSheetViews>
</file>

<file path=xl/persons/person.xml><?xml version="1.0" encoding="utf-8"?>
<personList xmlns="http://schemas.microsoft.com/office/spreadsheetml/2018/threadedcomments" xmlns:x="http://schemas.openxmlformats.org/spreadsheetml/2006/main">
  <person displayName="EXTERNO LARA GUALANCANAY LORENA PRISCILA" id="{99B07ECC-52B2-4BF5-9442-570668F7D78E}" userId="S::lgualanc@pichincha.com::ec46faf4-458f-411a-bcfc-6306a7d0bfe6"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X1" dT="2025-11-27T15:02:33.84" personId="{99B07ECC-52B2-4BF5-9442-570668F7D78E}" id="{53769C19-F720-4F3A-B192-78ADF321A22C}">
    <text>Considerar el calculo por todos los grupos de ejecución</text>
  </threadedComment>
  <threadedComment ref="I38" dT="2025-12-02T00:05:25.51" personId="{99B07ECC-52B2-4BF5-9442-570668F7D78E}" id="{40EECF10-91F4-4400-9A09-0EDDFBD6C479}">
    <text>A Desarrollo porq si se evidencia transaccionalidad</text>
  </threadedComment>
  <threadedComment ref="J65" dT="2025-12-02T00:07:02.30" personId="{99B07ECC-52B2-4BF5-9442-570668F7D78E}" id="{E4FAB521-F92B-4F45-9BB8-68F351719A83}">
    <text>Cual es el backend??</text>
  </threadedComment>
  <threadedComment ref="AF76" dT="2025-12-02T00:01:38.38" personId="{99B07ECC-52B2-4BF5-9442-570668F7D78E}" id="{80B3AF81-6F71-4995-9C08-753A95F07A0E}">
    <text>en Controller agregar nombre del servicio que se visualiza en el dynatrace</text>
  </threadedComment>
  <threadedComment ref="AF107" dT="2025-12-02T00:14:58.61" personId="{99B07ECC-52B2-4BF5-9442-570668F7D78E}" id="{57E6F914-A5AD-405F-AA30-ACCD13B97911}">
    <text>A nivel de dynatrace se identifico varios orquestadores que no se registro en el excel,</text>
  </threadedComment>
  <threadedComment ref="AL107" dT="2025-12-02T00:15:19.86" personId="{99B07ECC-52B2-4BF5-9442-570668F7D78E}" id="{446ABC89-3C34-4D32-B9CF-DF460FCBDBC7}">
    <text>Nombre del metodo, no numero</text>
  </threadedComment>
</ThreadedComment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17" Type="http://schemas.openxmlformats.org/officeDocument/2006/relationships/hyperlink" Target="https://dev.azure.com/BancoPichinchaEC/tpl-bus-omnicanal/_git/sqb-msa-orqclientes0026" TargetMode="External"/><Relationship Id="rId299" Type="http://schemas.openxmlformats.org/officeDocument/2006/relationships/hyperlink" Target="https://pichincha.atlassian.net/browse/PCBG-382" TargetMode="External"/><Relationship Id="rId21" Type="http://schemas.openxmlformats.org/officeDocument/2006/relationships/hyperlink" Target="https://app.icepanel.io/landscapes/w71QNHgfDvF79GrSuA3r/versions/latest/diagrams/editor?diagram=TL4LSX3Rai&amp;model=DzImGA4TxF&amp;overlay_tab=tags&amp;x1=-1164.9&amp;y1=-56&amp;x2=2100.9&amp;y2=1392" TargetMode="External"/><Relationship Id="rId63" Type="http://schemas.openxmlformats.org/officeDocument/2006/relationships/hyperlink" Target="https://s.icepanel.io/wJSECZOwwNkkW8/J3jw" TargetMode="External"/><Relationship Id="rId159" Type="http://schemas.openxmlformats.org/officeDocument/2006/relationships/hyperlink" Target="https://dev.azure.com/BancoPichinchaEC/tpl-integration-services-was/_git/ws-wsclientes0141-was" TargetMode="External"/><Relationship Id="rId324" Type="http://schemas.openxmlformats.org/officeDocument/2006/relationships/hyperlink" Target="https://pichincha.atlassian.net/browse/PCBG-396" TargetMode="External"/><Relationship Id="rId366" Type="http://schemas.openxmlformats.org/officeDocument/2006/relationships/hyperlink" Target="https://pichincha.atlassian.net/browse/PCBG-391" TargetMode="External"/><Relationship Id="rId170" Type="http://schemas.openxmlformats.org/officeDocument/2006/relationships/hyperlink" Target="https://s.icepanel.io/wJSECZOwwNkkW8/sjJK" TargetMode="External"/><Relationship Id="rId226" Type="http://schemas.openxmlformats.org/officeDocument/2006/relationships/hyperlink" Target="https://dev.azure.com/BancoPichinchaEC/adi-especificaciones-tecnicas/_git/adi-doc-tecspec-tribu-integracion-apis?version=GBmaster&amp;path=/sp%20-%20Soporte/tnd-msa-sp-wsclientes0155" TargetMode="External"/><Relationship Id="rId433" Type="http://schemas.openxmlformats.org/officeDocument/2006/relationships/hyperlink" Target="https://dev.azure.com/BancoPichinchaEC/adi-especificaciones-tecnicas/_git/adi-doc-tecspec-tribu-integracion-apis?path=/sp%20-%20Soporte/tnd-msa-sp-wsclientes0024" TargetMode="External"/><Relationship Id="rId268" Type="http://schemas.openxmlformats.org/officeDocument/2006/relationships/hyperlink" Target="https://pichincha.atlassian.net/browse/PCBG-586" TargetMode="External"/><Relationship Id="rId32" Type="http://schemas.openxmlformats.org/officeDocument/2006/relationships/hyperlink" Target="https://dev.azure.com/BancoPichinchaEC/tpl-bus-omnicanal/_git/sqb-msa-orqclientes0025" TargetMode="External"/><Relationship Id="rId74" Type="http://schemas.openxmlformats.org/officeDocument/2006/relationships/hyperlink" Target="https://app.icepanel.io/landscapes/w71QNHgfDvF79GrSuA3r/versions/latest/diagrams/editor?diagram=DJmwCnzRd3&amp;model=g62prdgtogf&amp;overlay_tab=tags&amp;x1=-644.9&amp;y1=-264&amp;x2=1812.9&amp;y2=1024" TargetMode="External"/><Relationship Id="rId128" Type="http://schemas.openxmlformats.org/officeDocument/2006/relationships/hyperlink" Target="https://dev.azure.com/BancoPichinchaEC/tpl-bus-omnicanal/_git/sqb-msa-orqclientes0022" TargetMode="External"/><Relationship Id="rId335" Type="http://schemas.openxmlformats.org/officeDocument/2006/relationships/hyperlink" Target="https://pichincha.atlassian.net/browse/PCBG-489" TargetMode="External"/><Relationship Id="rId377" Type="http://schemas.openxmlformats.org/officeDocument/2006/relationships/hyperlink" Target="https://dev.azure.com/BancoPichinchaEC/adi-especificaciones-tecnicas/_git/adi-doc-tecspec-tribu-integracion-apis?path=/sp%20-%20Soporte/tpr-msa-sp-wsclientes0141" TargetMode="External"/><Relationship Id="rId5" Type="http://schemas.openxmlformats.org/officeDocument/2006/relationships/hyperlink" Target="https://app.icepanel.io/landscapes/w71QNHgfDvF79GrSuA3r/versions/latest/diagrams/editor?diagram=tQFeLLP7bp&amp;model=RNAuXBAYB9&amp;overlay_tab=tags&amp;x1=-184&amp;y1=-160.4&amp;x2=3065.5&amp;y2=1280.4" TargetMode="External"/><Relationship Id="rId181" Type="http://schemas.openxmlformats.org/officeDocument/2006/relationships/hyperlink" Target="https://s.icepanel.io/wJSECZOwwNkkW8/YwHV" TargetMode="External"/><Relationship Id="rId237" Type="http://schemas.openxmlformats.org/officeDocument/2006/relationships/hyperlink" Target="https://dev.azure.com/BancoPichinchaEC/adi-especificaciones-tecnicas/_git/adi-doc-tecspec-tribu-integracion-apis?version=GBmaster&amp;path=/sp%20-%20Soporte/tnd-msa-sp-orqclientes0071" TargetMode="External"/><Relationship Id="rId402" Type="http://schemas.openxmlformats.org/officeDocument/2006/relationships/hyperlink" Target="https://dev.azure.com/BancoPichinchaEC/adi-especificaciones-tecnicas/_git/adi-doc-tecspec-tribu-integracion-apis?path=/sp%20-%20Soporte/tnd-msa-sp-wsclientes0062" TargetMode="External"/><Relationship Id="rId279" Type="http://schemas.openxmlformats.org/officeDocument/2006/relationships/hyperlink" Target="https://pichincha.atlassian.net/browse/PCBG-597" TargetMode="External"/><Relationship Id="rId43" Type="http://schemas.openxmlformats.org/officeDocument/2006/relationships/hyperlink" Target="https://app.icepanel.io/landscapes/w71QNHgfDvF79GrSuA3r/versions/latest/diagrams/editor?diagram=DgtCdHrjDp&amp;model=w4gvcsly0h&amp;overlay_tab=tags&amp;x1=-489.6&amp;y1=-24&amp;x2=2384.2&amp;y2=1448" TargetMode="External"/><Relationship Id="rId139" Type="http://schemas.openxmlformats.org/officeDocument/2006/relationships/hyperlink" Target="https://dev.azure.com/BancoPichinchaEC/tpl-bus-omnicanal/_git/sqb-msa-wsclientes0114" TargetMode="External"/><Relationship Id="rId290" Type="http://schemas.openxmlformats.org/officeDocument/2006/relationships/hyperlink" Target="https://pichincha.atlassian.net/browse/PCBG-608" TargetMode="External"/><Relationship Id="rId304" Type="http://schemas.openxmlformats.org/officeDocument/2006/relationships/hyperlink" Target="https://pichincha.atlassian.net/browse/PCBG-384" TargetMode="External"/><Relationship Id="rId346" Type="http://schemas.openxmlformats.org/officeDocument/2006/relationships/hyperlink" Target="https://pichincha.atlassian.net/browse/PCBG-498" TargetMode="External"/><Relationship Id="rId388" Type="http://schemas.openxmlformats.org/officeDocument/2006/relationships/hyperlink" Target="https://dev.azure.com/BancoPichinchaEC/adi-especificaciones-tecnicas/_git/adi-doc-tecspec-tribu-integracion-apis?path=/sp%20-%20Soporte/tnd-msa-sp-wsclientes0012" TargetMode="External"/><Relationship Id="rId85" Type="http://schemas.openxmlformats.org/officeDocument/2006/relationships/hyperlink" Target="https://dev.azure.com/BancoPichinchaEC/tpl-bus-omnicanal/_git/sqb-msa-wsseguridad0029" TargetMode="External"/><Relationship Id="rId150" Type="http://schemas.openxmlformats.org/officeDocument/2006/relationships/hyperlink" Target="https://dev.azure.com/BancoPichinchaEC/tpl-integration-services-was/_git/ws-wstecnicos0035-was" TargetMode="External"/><Relationship Id="rId192" Type="http://schemas.openxmlformats.org/officeDocument/2006/relationships/hyperlink" Target="https://s.icepanel.io/wJSECZOwwNkkW8/vlnH" TargetMode="External"/><Relationship Id="rId206" Type="http://schemas.openxmlformats.org/officeDocument/2006/relationships/hyperlink" Target="https://dev.azure.com/BancoPichinchaEC/tpl-bus-omnicanal/_git/sqb-msa-orqclientes0056" TargetMode="External"/><Relationship Id="rId413" Type="http://schemas.openxmlformats.org/officeDocument/2006/relationships/hyperlink" Target="https://dev.azure.com/BancoPichinchaEC/adi-especificaciones-tecnicas/_git/adi-doc-tecspec-tribu-integracion-apis?path=/sp%20-%20Soporte/tnd-msa-sp-wsclientes0099" TargetMode="External"/><Relationship Id="rId248" Type="http://schemas.openxmlformats.org/officeDocument/2006/relationships/hyperlink" Target="https://dev.azure.com/BancoPichinchaEC/adi-especificaciones-tecnicas/_git/adi-doc-tecspec-tribu-integracion-apis?version=GBmaster&amp;path=/sp%20-%20Soporte/tnd-msa-sp-orqclientes0053" TargetMode="External"/><Relationship Id="rId12" Type="http://schemas.openxmlformats.org/officeDocument/2006/relationships/hyperlink" Target="https://app.icepanel.io/landscapes/w71QNHgfDvF79GrSuA3r/versions/latest/diagrams/editor?domain=z5rnxbake2&amp;diagram=hFxr4XJYAz&amp;model=6VcKYw8fMd&amp;overlay_tab=tags&amp;x1=-346.9&amp;y1=-307.7&amp;x2=1979.1&amp;y2=924.8" TargetMode="External"/><Relationship Id="rId108" Type="http://schemas.openxmlformats.org/officeDocument/2006/relationships/hyperlink" Target="https://dev.azure.com/BancoPichinchaEC/tpl-bus-omnicanal/_git/sqb-msa-orqclientes0027" TargetMode="External"/><Relationship Id="rId315" Type="http://schemas.openxmlformats.org/officeDocument/2006/relationships/hyperlink" Target="https://pichincha.atlassian.net/browse/PCBG-391" TargetMode="External"/><Relationship Id="rId357" Type="http://schemas.openxmlformats.org/officeDocument/2006/relationships/hyperlink" Target="https://pichincha.atlassian.net/browse/PCBG-409" TargetMode="External"/><Relationship Id="rId54" Type="http://schemas.openxmlformats.org/officeDocument/2006/relationships/hyperlink" Target="https://dev.azure.com/BancoPichinchaEC/tpl-bus-omnicanal/_git/sqb-msa-orqclientes0024" TargetMode="External"/><Relationship Id="rId96" Type="http://schemas.openxmlformats.org/officeDocument/2006/relationships/hyperlink" Target="https://s.icepanel.io/wJSECZOwwNkkW8/QaSN" TargetMode="External"/><Relationship Id="rId161" Type="http://schemas.openxmlformats.org/officeDocument/2006/relationships/hyperlink" Target="https://s.icepanel.io/wJSECZOwwNkkW8/Rqyj" TargetMode="External"/><Relationship Id="rId217" Type="http://schemas.openxmlformats.org/officeDocument/2006/relationships/hyperlink" Target="https://dev.azure.com/BancoPichinchaEC/adi-especificaciones-tecnicas/_git/adi-doc-tecspec-tribu-integracion-apis?path=/sp%20-%20Soporte/csg-msa-sp-wsclientes0154" TargetMode="External"/><Relationship Id="rId399" Type="http://schemas.openxmlformats.org/officeDocument/2006/relationships/hyperlink" Target="https://dev.azure.com/BancoPichinchaEC/adi-especificaciones-tecnicas/_git/adi-doc-tecspec-tribu-integracion-apis?path=/sp%20-%20Soporte/tnd-msa-sp-wsclientes0055" TargetMode="External"/><Relationship Id="rId259" Type="http://schemas.openxmlformats.org/officeDocument/2006/relationships/hyperlink" Target="https://dev.azure.com/BancoPichinchaEC/adi-especificaciones-tecnicas/_git/adi-doc-tecspec-tribu-integracion-apis?version=GBmaster&amp;path=/sp%20-%20Soporte/tpr-msa-sp-orqclientes0023" TargetMode="External"/><Relationship Id="rId424" Type="http://schemas.openxmlformats.org/officeDocument/2006/relationships/hyperlink" Target="https://dev.azure.com/BancoPichinchaEC/adi-especificaciones-tecnicas/_git/adi-doc-tecspec-tribu-integracion-apis?path=/sp%20-%20Soporte/tpr-msa-sp-wsproductos0130" TargetMode="External"/><Relationship Id="rId23" Type="http://schemas.openxmlformats.org/officeDocument/2006/relationships/hyperlink" Target="https://dev.azure.com/BancoPichinchaEC/tpl-bus-omnicanal/_git/sqb-msa-wsreglas0004" TargetMode="External"/><Relationship Id="rId119" Type="http://schemas.openxmlformats.org/officeDocument/2006/relationships/hyperlink" Target="https://dev.azure.com/BancoPichinchaEC/adi-especificaciones-tecnicas/_git/adi-doc-tecspec-tribu-integracion-apis?path=/sp%20-%20Soporte/tpr-msa-sp-orqclientes0024" TargetMode="External"/><Relationship Id="rId270" Type="http://schemas.openxmlformats.org/officeDocument/2006/relationships/hyperlink" Target="https://pichincha.atlassian.net/browse/PCBG-588" TargetMode="External"/><Relationship Id="rId326" Type="http://schemas.openxmlformats.org/officeDocument/2006/relationships/hyperlink" Target="https://pichincha.atlassian.net/browse/PCBG-483" TargetMode="External"/><Relationship Id="rId65" Type="http://schemas.openxmlformats.org/officeDocument/2006/relationships/hyperlink" Target="https://s.icepanel.io/wJSECZOwwNkkW8/EbyE" TargetMode="External"/><Relationship Id="rId130" Type="http://schemas.openxmlformats.org/officeDocument/2006/relationships/hyperlink" Target="https://dev.azure.com/BancoPichinchaEC/tpl-bus-omnicanal/_git/sqb-msa-orqclientes0050" TargetMode="External"/><Relationship Id="rId368" Type="http://schemas.openxmlformats.org/officeDocument/2006/relationships/hyperlink" Target="https://pichincha.atlassian.net/browse/PCBG-508" TargetMode="External"/><Relationship Id="rId172" Type="http://schemas.openxmlformats.org/officeDocument/2006/relationships/hyperlink" Target="https://s.icepanel.io/wJSECZOwwNkkW8/UC2g" TargetMode="External"/><Relationship Id="rId228" Type="http://schemas.openxmlformats.org/officeDocument/2006/relationships/hyperlink" Target="https://dev.azure.com/BancoPichinchaEC/adi-especificaciones-tecnicas/_git/adi-doc-tecspec-tribu-integracion-apis?path=/sp%20-%20Soporte/tia-msa-sp-wstecnicos0004" TargetMode="External"/><Relationship Id="rId435" Type="http://schemas.openxmlformats.org/officeDocument/2006/relationships/hyperlink" Target="https://dev.azure.com/BancoPichinchaEC/adi-especificaciones-tecnicas/_git/adi-doc-tecspec-tribu-integracion-apis?path=/sp%20-%20Soporte/tmp-msa-sp-wstecnicos0003" TargetMode="External"/><Relationship Id="rId281" Type="http://schemas.openxmlformats.org/officeDocument/2006/relationships/hyperlink" Target="https://pichincha.atlassian.net/browse/PCBG-599" TargetMode="External"/><Relationship Id="rId337" Type="http://schemas.openxmlformats.org/officeDocument/2006/relationships/hyperlink" Target="https://pichincha.atlassian.net/browse/PCBG-402" TargetMode="External"/><Relationship Id="rId34" Type="http://schemas.openxmlformats.org/officeDocument/2006/relationships/hyperlink" Target="https://dev.azure.com/BancoPichinchaEC/tpl-bus-omnicanal/_git/sqb-msa-orqclientes0036" TargetMode="External"/><Relationship Id="rId76" Type="http://schemas.openxmlformats.org/officeDocument/2006/relationships/hyperlink" Target="https://dev.azure.com/BancoPichinchaEC/tpl-bus-omnicanal/_git/sqb-msa-wsclientes0080" TargetMode="External"/><Relationship Id="rId141" Type="http://schemas.openxmlformats.org/officeDocument/2006/relationships/hyperlink" Target="https://dev.azure.com/BancoPichinchaEC/tpl-bus-omnicanal/_git/sqb-msa-wsclientes0153" TargetMode="External"/><Relationship Id="rId379" Type="http://schemas.openxmlformats.org/officeDocument/2006/relationships/hyperlink" Target="https://dev.azure.com/BancoPichinchaEC/adi-especificaciones-tecnicas/_git/adi-doc-tecspec-tribu-integracion-apis?version=GBmaster&amp;path=/sp%20-%20Soporte/tnd-msa-sp-wstecnicos0070" TargetMode="External"/><Relationship Id="rId7" Type="http://schemas.openxmlformats.org/officeDocument/2006/relationships/hyperlink" Target="https://s.icepanel.io/wJSECZOwwNkkW8/tar5" TargetMode="External"/><Relationship Id="rId183" Type="http://schemas.openxmlformats.org/officeDocument/2006/relationships/hyperlink" Target="https://s.icepanel.io/wJSECZOwwNkkW8/hhnR" TargetMode="External"/><Relationship Id="rId239" Type="http://schemas.openxmlformats.org/officeDocument/2006/relationships/hyperlink" Target="https://dev.azure.com/BancoPichinchaEC/adi-especificaciones-tecnicas/_git/adi-doc-tecspec-tribu-integracion-apis?path=/sp%20-%20Soporte/tnd-msa-sp-wsclientes0072" TargetMode="External"/><Relationship Id="rId390" Type="http://schemas.openxmlformats.org/officeDocument/2006/relationships/hyperlink" Target="https://dev.azure.com/BancoPichinchaEC/adi-especificaciones-tecnicas/_git/adi-doc-tecspec-tribu-integracion-apis?path=/sp%20-%20Soporte/tnd-msa-sp-wsclientes0020" TargetMode="External"/><Relationship Id="rId404" Type="http://schemas.openxmlformats.org/officeDocument/2006/relationships/hyperlink" Target="https://dev.azure.com/BancoPichinchaEC/adi-especificaciones-tecnicas/_git/adi-doc-tecspec-tribu-integracion-apis?path=/sp%20-%20Soporte/tnd-msa-sp-wsclientes0067" TargetMode="External"/><Relationship Id="rId250" Type="http://schemas.openxmlformats.org/officeDocument/2006/relationships/hyperlink" Target="https://dev.azure.com/BancoPichinchaEC/adi-especificaciones-tecnicas/_git/adi-doc-tecspec-tribu-integracion-apis?path=/sp%20-%20Soporte/tnd-msa-sp-cfi-wsclientes0060" TargetMode="External"/><Relationship Id="rId292" Type="http://schemas.openxmlformats.org/officeDocument/2006/relationships/hyperlink" Target="https://pichincha.atlassian.net/browse/PCBG-610" TargetMode="External"/><Relationship Id="rId306" Type="http://schemas.openxmlformats.org/officeDocument/2006/relationships/hyperlink" Target="https://pichincha.atlassian.net/browse/PCBG-386" TargetMode="External"/><Relationship Id="rId45" Type="http://schemas.openxmlformats.org/officeDocument/2006/relationships/hyperlink" Target="https://app.icepanel.io/landscapes/w71QNHgfDvF79GrSuA3r/versions/latest/diagrams/editor?diagram=lqKeQ1cgD9&amp;model=fyjGEaNzjk&amp;overlay_tab=tags&amp;x1=-790.4&amp;y1=-24&amp;x2=2380.2&amp;y2=1600" TargetMode="External"/><Relationship Id="rId87" Type="http://schemas.openxmlformats.org/officeDocument/2006/relationships/hyperlink" Target="https://dev.azure.com/BancoPichinchaEC/tpl-bus-omnicanal/_git/sqb-msa-orqclientes0017" TargetMode="External"/><Relationship Id="rId110" Type="http://schemas.openxmlformats.org/officeDocument/2006/relationships/hyperlink" Target="https://app.icepanel.io/landscapes/w71QNHgfDvF79GrSuA3r/versions/latest/diagrams/editor?diagram=xs1LYUUDwU&amp;model=g103dyijmna&amp;overlay_tab=tags&amp;x1=-642.7&amp;y1=-192&amp;x2=1666.7&amp;y2=832" TargetMode="External"/><Relationship Id="rId348" Type="http://schemas.openxmlformats.org/officeDocument/2006/relationships/hyperlink" Target="https://pichincha.atlassian.net/browse/PCBG-405" TargetMode="External"/><Relationship Id="rId152" Type="http://schemas.openxmlformats.org/officeDocument/2006/relationships/hyperlink" Target="https://dev.azure.com/BancoPichinchaEC/tpl-integration-services-was/_git/ws-wstecnicos0070-was" TargetMode="External"/><Relationship Id="rId194" Type="http://schemas.openxmlformats.org/officeDocument/2006/relationships/hyperlink" Target="https://s.icepanel.io/wJSECZOwwNkkW8/s2K8" TargetMode="External"/><Relationship Id="rId208" Type="http://schemas.openxmlformats.org/officeDocument/2006/relationships/hyperlink" Target="https://dev.azure.com/BancoPichinchaEC/tpl-bus-omnicanal/_git/sqb-msa-wsclientes0003" TargetMode="External"/><Relationship Id="rId415" Type="http://schemas.openxmlformats.org/officeDocument/2006/relationships/hyperlink" Target="https://dev.azure.com/BancoPichinchaEC/adi-especificaciones-tecnicas/_git/adi-doc-tecspec-tribu-integracion-apis?path=/sp%20-%20Soporte/tnd-msa-sp-wsclientes0102" TargetMode="External"/><Relationship Id="rId261" Type="http://schemas.openxmlformats.org/officeDocument/2006/relationships/hyperlink" Target="https://dev.azure.com/BancoPichinchaEC/adi-especificaciones-tecnicas/_git/adi-doc-tecspec-tribu-integracion-apis?version=GBmaster&amp;path=/sp%20-%20Soporte/tnd-msa-sp-orqclientes0059" TargetMode="External"/><Relationship Id="rId14" Type="http://schemas.openxmlformats.org/officeDocument/2006/relationships/hyperlink" Target="https://app.icepanel.io/landscapes/w71QNHgfDvF79GrSuA3r/versions/latest/diagrams/editor?diagram=rwZXVIVRx1&amp;model=j4cx7gpdiv8&amp;overlay_tab=tags&amp;x1=-1551.4&amp;y1=-232&amp;x2=2183.4&amp;y2=1424" TargetMode="External"/><Relationship Id="rId56" Type="http://schemas.openxmlformats.org/officeDocument/2006/relationships/hyperlink" Target="https://dev.azure.com/BancoPichinchaEC/tpl-bus-omnicanal/_git/sqb-msa-wsclientes0029" TargetMode="External"/><Relationship Id="rId317" Type="http://schemas.openxmlformats.org/officeDocument/2006/relationships/hyperlink" Target="https://pichincha.atlassian.net/browse/PCBG-393" TargetMode="External"/><Relationship Id="rId359" Type="http://schemas.openxmlformats.org/officeDocument/2006/relationships/hyperlink" Target="https://pichincha.atlassian.net/browse/PCBG-411" TargetMode="External"/><Relationship Id="rId98" Type="http://schemas.openxmlformats.org/officeDocument/2006/relationships/hyperlink" Target="https://s.icepanel.io/wJSECZOwwNkkW8/Gsnv" TargetMode="External"/><Relationship Id="rId121" Type="http://schemas.openxmlformats.org/officeDocument/2006/relationships/hyperlink" Target="https://dev.azure.com/BancoPichinchaEC/adi-especificaciones-tecnicas/_git/adi-doc-tecspec-tribu-integracion-apis?version=GBmaster&amp;path=/sp%20-%20Soporte/tnd-msa-sp-orqclientes0035" TargetMode="External"/><Relationship Id="rId163" Type="http://schemas.openxmlformats.org/officeDocument/2006/relationships/hyperlink" Target="https://s.icepanel.io/wJSECZOwwNkkW8/eDfb" TargetMode="External"/><Relationship Id="rId219" Type="http://schemas.openxmlformats.org/officeDocument/2006/relationships/hyperlink" Target="https://dev.azure.com/BancoPichinchaEC/adi-especificaciones-tecnicas/_git/adi-doc-tecspec-tribu-integracion-apis?path=/sp%20-%20Soporte/tnd-msa-sp-orqclientes0016" TargetMode="External"/><Relationship Id="rId370" Type="http://schemas.openxmlformats.org/officeDocument/2006/relationships/hyperlink" Target="https://pichincha.atlassian.net/browse/PCBG-509" TargetMode="External"/><Relationship Id="rId426" Type="http://schemas.openxmlformats.org/officeDocument/2006/relationships/hyperlink" Target="https://dev.azure.com/BancoPichinchaEC/adi-especificaciones-tecnicas/_git/adi-doc-tecspec-tribu-integracion-apis?path=/sp%20-%20Soporte/csg-msa-sp-wsseguridad0067" TargetMode="External"/><Relationship Id="rId230" Type="http://schemas.openxmlformats.org/officeDocument/2006/relationships/hyperlink" Target="https://dev.azure.com/BancoPichinchaEC/adi-especificaciones-tecnicas/_git/adi-doc-tecspec-tribu-integracion-apis?version=GBmaster&amp;path=/sp%20-%20Soporte/tpr-msa-sp-wsclientes0080" TargetMode="External"/><Relationship Id="rId25" Type="http://schemas.openxmlformats.org/officeDocument/2006/relationships/hyperlink" Target="https://s.icepanel.io/wJSECZOwwNkkW8/r3cl" TargetMode="External"/><Relationship Id="rId67" Type="http://schemas.openxmlformats.org/officeDocument/2006/relationships/hyperlink" Target="https://s.icepanel.io/wJSECZOwwNkkW8/NQF9" TargetMode="External"/><Relationship Id="rId272" Type="http://schemas.openxmlformats.org/officeDocument/2006/relationships/hyperlink" Target="https://pichincha.atlassian.net/browse/PCBG-590" TargetMode="External"/><Relationship Id="rId328" Type="http://schemas.openxmlformats.org/officeDocument/2006/relationships/hyperlink" Target="https://pichincha.atlassian.net/browse/PCBG-398" TargetMode="External"/><Relationship Id="rId132" Type="http://schemas.openxmlformats.org/officeDocument/2006/relationships/hyperlink" Target="https://dev.azure.com/BancoPichinchaEC/tpl-bus-omnicanal/_git/sqb-msa-wsclientes0024" TargetMode="External"/><Relationship Id="rId174" Type="http://schemas.openxmlformats.org/officeDocument/2006/relationships/hyperlink" Target="https://s.icepanel.io/wJSECZOwwNkkW8/3UvV" TargetMode="External"/><Relationship Id="rId381" Type="http://schemas.openxmlformats.org/officeDocument/2006/relationships/hyperlink" Target="https://dev.azure.com/BancoPichinchaEC/adi-especificaciones-tecnicas/_git/adi-doc-tecspec-tribu-integracion-apis?version=GBmaster&amp;path=/sp%20-%20Soporte/tnd-msa-sp-orqclientes0054" TargetMode="External"/><Relationship Id="rId241" Type="http://schemas.openxmlformats.org/officeDocument/2006/relationships/hyperlink" Target="https://s.icepanel.io/wJSECZOwwNkkW8/r3I4" TargetMode="External"/><Relationship Id="rId437" Type="http://schemas.openxmlformats.org/officeDocument/2006/relationships/vmlDrawing" Target="../drawings/vmlDrawing1.vml"/><Relationship Id="rId36" Type="http://schemas.openxmlformats.org/officeDocument/2006/relationships/hyperlink" Target="https://dev.azure.com/BancoPichinchaEC/tpl-bus-omnicanal/_git/sqb-msa-wsreglas0010" TargetMode="External"/><Relationship Id="rId283" Type="http://schemas.openxmlformats.org/officeDocument/2006/relationships/hyperlink" Target="https://pichincha.atlassian.net/browse/PCBG-601" TargetMode="External"/><Relationship Id="rId339" Type="http://schemas.openxmlformats.org/officeDocument/2006/relationships/hyperlink" Target="https://pichincha.atlassian.net/browse/PCBG-491" TargetMode="External"/><Relationship Id="rId78" Type="http://schemas.openxmlformats.org/officeDocument/2006/relationships/hyperlink" Target="https://dev.azure.com/BancoPichinchaEC/tpl-bus-omnicanal/_git/sqb-msa-wsclientes0104" TargetMode="External"/><Relationship Id="rId101" Type="http://schemas.openxmlformats.org/officeDocument/2006/relationships/hyperlink" Target="https://s.icepanel.io/wJSECZOwwNkkW8/p4xV" TargetMode="External"/><Relationship Id="rId143" Type="http://schemas.openxmlformats.org/officeDocument/2006/relationships/hyperlink" Target="https://dev.azure.com/BancoPichinchaEC/tpl-bus-omnicanal/_git/sqb-msa-wsproductos0189" TargetMode="External"/><Relationship Id="rId185" Type="http://schemas.openxmlformats.org/officeDocument/2006/relationships/hyperlink" Target="https://s.icepanel.io/wJSECZOwwNkkW8/SOkj" TargetMode="External"/><Relationship Id="rId350" Type="http://schemas.openxmlformats.org/officeDocument/2006/relationships/hyperlink" Target="https://pichincha.atlassian.net/browse/PCBG-499" TargetMode="External"/><Relationship Id="rId406" Type="http://schemas.openxmlformats.org/officeDocument/2006/relationships/hyperlink" Target="https://dev.azure.com/BancoPichinchaEC/adi-especificaciones-tecnicas/_git/adi-doc-tecspec-tribu-integracion-apis?path=/sp%20-%20Soporte/tnd-msa-sp-wsclientes0074" TargetMode="External"/><Relationship Id="rId9" Type="http://schemas.openxmlformats.org/officeDocument/2006/relationships/hyperlink" Target="https://dev.azure.com/BancoPichinchaEC/tpl-bus-omnicanal/_git/sqb-msa-wsclientes0062" TargetMode="External"/><Relationship Id="rId210" Type="http://schemas.openxmlformats.org/officeDocument/2006/relationships/hyperlink" Target="https://dev.azure.com/BancoPichinchaEC/tpl-bus-omnicanal/_git/sqb-msa-wsclientes0011" TargetMode="External"/><Relationship Id="rId392" Type="http://schemas.openxmlformats.org/officeDocument/2006/relationships/hyperlink" Target="https://dev.azure.com/BancoPichinchaEC/adi-especificaciones-tecnicas/_git/adi-doc-tecspec-tribu-integracion-apis?path=/sp%20-%20Soporte/tnd-msa-sp-wsclientes0027" TargetMode="External"/><Relationship Id="rId252" Type="http://schemas.openxmlformats.org/officeDocument/2006/relationships/hyperlink" Target="https://dev.azure.com/BancoPichinchaEC/adi-especificaciones-tecnicas/_git/adi-doc-tecspec-tribu-integracion-apis?path=/sp%20-%20Soporte/csg-msa-sp-wsclientes0010" TargetMode="External"/><Relationship Id="rId294" Type="http://schemas.openxmlformats.org/officeDocument/2006/relationships/hyperlink" Target="https://pichincha.atlassian.net/browse/PCBG-686" TargetMode="External"/><Relationship Id="rId308" Type="http://schemas.openxmlformats.org/officeDocument/2006/relationships/hyperlink" Target="https://pichincha.atlassian.net/browse/PCBG-387" TargetMode="External"/><Relationship Id="rId47" Type="http://schemas.openxmlformats.org/officeDocument/2006/relationships/hyperlink" Target="https://app.icepanel.io/landscapes/w71QNHgfDvF79GrSuA3r/versions/latest/diagrams/editor?diagram=ofxwoWFjeC&amp;model=m4WANZhjgx&amp;overlay_tab=tags&amp;x1=-510.5&amp;y1=-56&amp;x2=2316.5&amp;y2=1392" TargetMode="External"/><Relationship Id="rId89" Type="http://schemas.openxmlformats.org/officeDocument/2006/relationships/hyperlink" Target="https://s.icepanel.io/wJSECZOwwNkkW8/7y4b" TargetMode="External"/><Relationship Id="rId112" Type="http://schemas.openxmlformats.org/officeDocument/2006/relationships/hyperlink" Target="https://s.icepanel.io/wJSECZOwwNkkW8/EGwZ" TargetMode="External"/><Relationship Id="rId154" Type="http://schemas.openxmlformats.org/officeDocument/2006/relationships/hyperlink" Target="https://dev.azure.com/BancoPichinchaEC/tpl-integration-services-was/_git/ws-wsclientes0023-was" TargetMode="External"/><Relationship Id="rId361" Type="http://schemas.openxmlformats.org/officeDocument/2006/relationships/hyperlink" Target="https://pichincha.atlassian.net/browse/PCBG-413" TargetMode="External"/><Relationship Id="rId196" Type="http://schemas.openxmlformats.org/officeDocument/2006/relationships/hyperlink" Target="https://dev.azure.com/BancoPichinchaEC/tpl-bus-omnicanal/_git/sqb-msa-orqclientes0052" TargetMode="External"/><Relationship Id="rId417" Type="http://schemas.openxmlformats.org/officeDocument/2006/relationships/hyperlink" Target="https://dev.azure.com/BancoPichinchaEC/adi-especificaciones-tecnicas/_git/adi-doc-tecspec-tribu-integracion-apis?path=/sp%20-%20Soporte/tnd-msa-sp-wsclientes0111" TargetMode="External"/><Relationship Id="rId16" Type="http://schemas.openxmlformats.org/officeDocument/2006/relationships/hyperlink" Target="https://app.icepanel.io/landscapes/w71QNHgfDvF79GrSuA3r/versions/latest/diagrams/editor?diagram=fIFTG1H5Gh&amp;model=RhYlSxnwCl&amp;overlay_tab=tags&amp;x1=-665.6&amp;y1=-56&amp;x2=2491.9&amp;y2=1344" TargetMode="External"/><Relationship Id="rId221" Type="http://schemas.openxmlformats.org/officeDocument/2006/relationships/hyperlink" Target="https://dev.azure.com/BancoPichinchaEC/adi-especificaciones-tecnicas/_git/adi-doc-tecspec-tribu-integracion-apis?path=/sp%20-%20Soporte/tnd-msa-sp-wsclientes0013" TargetMode="External"/><Relationship Id="rId263" Type="http://schemas.openxmlformats.org/officeDocument/2006/relationships/hyperlink" Target="https://pichincha.atlassian.net/browse/PCBG-545" TargetMode="External"/><Relationship Id="rId319" Type="http://schemas.openxmlformats.org/officeDocument/2006/relationships/hyperlink" Target="https://pichincha.atlassian.net/browse/PCBG-394" TargetMode="External"/><Relationship Id="rId58" Type="http://schemas.openxmlformats.org/officeDocument/2006/relationships/hyperlink" Target="https://dev.azure.com/BancoPichinchaEC/tpl-bus-omnicanal/_git/sqb-msa-wsclientes0078" TargetMode="External"/><Relationship Id="rId123" Type="http://schemas.openxmlformats.org/officeDocument/2006/relationships/hyperlink" Target="https://dev.azure.com/BancoPichinchaEC/adi-especificaciones-tecnicas/_git/adi-doc-tecspec-tribu-integracion-apis?version=GBmaster&amp;path=/sp%20-%20Soporte/tnd-msa-sp-orqclientes0045" TargetMode="External"/><Relationship Id="rId330" Type="http://schemas.openxmlformats.org/officeDocument/2006/relationships/hyperlink" Target="https://pichincha.atlassian.net/browse/PCBG-399" TargetMode="External"/><Relationship Id="rId165" Type="http://schemas.openxmlformats.org/officeDocument/2006/relationships/hyperlink" Target="https://s.icepanel.io/wJSECZOwwNkkW8/Tf15" TargetMode="External"/><Relationship Id="rId372" Type="http://schemas.openxmlformats.org/officeDocument/2006/relationships/hyperlink" Target="https://pichincha.atlassian.net/browse/PCBG-510" TargetMode="External"/><Relationship Id="rId428" Type="http://schemas.openxmlformats.org/officeDocument/2006/relationships/hyperlink" Target="https://dev.azure.com/BancoPichinchaEC/adi-especificaciones-tecnicas/_git/adi-doc-tecspec-tribu-integracion-apis?path=/sp%20-%20Soporte/csg-msa-sp-wstecnicos0078" TargetMode="External"/><Relationship Id="rId232" Type="http://schemas.openxmlformats.org/officeDocument/2006/relationships/hyperlink" Target="https://dev.azure.com/BancoPichinchaEC/adi-especificaciones-tecnicas/_git/adi-doc-tecspec-tribu-integracion-apis?version=GBmaster&amp;path=/sp%20-%20Soporte/tia-msa-sp-wstecnicos0063" TargetMode="External"/><Relationship Id="rId274" Type="http://schemas.openxmlformats.org/officeDocument/2006/relationships/hyperlink" Target="https://pichincha.atlassian.net/browse/PCBG-592" TargetMode="External"/><Relationship Id="rId27" Type="http://schemas.openxmlformats.org/officeDocument/2006/relationships/hyperlink" Target="https://dev.azure.com/BancoPichinchaEC/tpl-bus-omnicanal/_git/sqb-msa-orqclientes0048" TargetMode="External"/><Relationship Id="rId69" Type="http://schemas.openxmlformats.org/officeDocument/2006/relationships/hyperlink" Target="https://serviciosexternos.pichincha.com:8445/BPMicrofinanzasProd/Servicios/Rest/FlexibleUpdateWorkOrder" TargetMode="External"/><Relationship Id="rId134" Type="http://schemas.openxmlformats.org/officeDocument/2006/relationships/hyperlink" Target="https://dev.azure.com/BancoPichinchaEC/tpl-bus-omnicanal/_git/sqb-msa-wsclientes0061" TargetMode="External"/><Relationship Id="rId80" Type="http://schemas.openxmlformats.org/officeDocument/2006/relationships/hyperlink" Target="https://dev.azure.com/BancoPichinchaEC/tpl-bus-omnicanal/_git/sqb-msa-wsproductos0023" TargetMode="External"/><Relationship Id="rId176" Type="http://schemas.openxmlformats.org/officeDocument/2006/relationships/hyperlink" Target="https://s.icepanel.io/wJSECZOwwNkkW8/RS68" TargetMode="External"/><Relationship Id="rId341" Type="http://schemas.openxmlformats.org/officeDocument/2006/relationships/hyperlink" Target="https://pichincha.atlassian.net/browse/PCBG-493" TargetMode="External"/><Relationship Id="rId383" Type="http://schemas.openxmlformats.org/officeDocument/2006/relationships/hyperlink" Target="https://dev.azure.com/BancoPichinchaEC/adi-especificaciones-tecnicas/_git/adi-doc-tecspec-tribu-integracion-apis?version=GBmaster&amp;path=/sp%20-%20Soporte/tnd-msa-sp-orqclientes0062" TargetMode="External"/><Relationship Id="rId439" Type="http://schemas.microsoft.com/office/2017/10/relationships/threadedComment" Target="../threadedComments/threadedComment1.xml"/><Relationship Id="rId201" Type="http://schemas.openxmlformats.org/officeDocument/2006/relationships/hyperlink" Target="https://dev.azure.com/BancoPichinchaEC/tpl-bus-omnicanal/_git/sqb-msa-wsclientes0001" TargetMode="External"/><Relationship Id="rId243" Type="http://schemas.openxmlformats.org/officeDocument/2006/relationships/hyperlink" Target="https://dev.azure.com/BancoPichinchaEC/adi-especificaciones-tecnicas/_git/adi-doc-tecspec-tribu-integracion-apis?path=/sp%20-%20Soporte/tpr-msa-sp-orqclientes0003" TargetMode="External"/><Relationship Id="rId285" Type="http://schemas.openxmlformats.org/officeDocument/2006/relationships/hyperlink" Target="https://pichincha.atlassian.net/browse/PCBG-603" TargetMode="External"/><Relationship Id="rId38" Type="http://schemas.openxmlformats.org/officeDocument/2006/relationships/hyperlink" Target="https://dev.azure.com/BancoPichinchaEC/tpl-integration-services-was/_git/ws-wsproductos0082-was" TargetMode="External"/><Relationship Id="rId103" Type="http://schemas.openxmlformats.org/officeDocument/2006/relationships/hyperlink" Target="https://dev.azure.com/BancoPichinchaEC/adi-especificaciones-tecnicas/_git/adi-doc-tecspec-tribu-integracion-apis?path=/sp%20-%20Soporte/tnd-msa-sp-orqclientes0019" TargetMode="External"/><Relationship Id="rId310" Type="http://schemas.openxmlformats.org/officeDocument/2006/relationships/hyperlink" Target="https://pichincha.atlassian.net/browse/PCBG-476" TargetMode="External"/><Relationship Id="rId91" Type="http://schemas.openxmlformats.org/officeDocument/2006/relationships/hyperlink" Target="https://s.icepanel.io/wJSECZOwwNkkW8/1cIC" TargetMode="External"/><Relationship Id="rId145" Type="http://schemas.openxmlformats.org/officeDocument/2006/relationships/hyperlink" Target="https://dev.azure.com/BancoPichinchaEC/tpl-bus-omnicanal/_git/sqb-msa-wstecnicos0078" TargetMode="External"/><Relationship Id="rId187" Type="http://schemas.openxmlformats.org/officeDocument/2006/relationships/hyperlink" Target="https://s.icepanel.io/wJSECZOwwNkkW8/9E5q" TargetMode="External"/><Relationship Id="rId352" Type="http://schemas.openxmlformats.org/officeDocument/2006/relationships/hyperlink" Target="https://pichincha.atlassian.net/browse/PCBG-501" TargetMode="External"/><Relationship Id="rId394" Type="http://schemas.openxmlformats.org/officeDocument/2006/relationships/hyperlink" Target="https://dev.azure.com/BancoPichinchaEC/adi-especificaciones-tecnicas/_git/adi-doc-tecspec-tribu-integracion-apis?path=/sp%20-%20Soporte/tnd-msa-sp-wsclientes0029" TargetMode="External"/><Relationship Id="rId408" Type="http://schemas.openxmlformats.org/officeDocument/2006/relationships/hyperlink" Target="https://dev.azure.com/BancoPichinchaEC/adi-especificaciones-tecnicas/_git/adi-doc-tecspec-tribu-integracion-apis?path=/sp%20-%20Soporte/tnd-msa-sp-wsclientes0077" TargetMode="External"/><Relationship Id="rId212" Type="http://schemas.openxmlformats.org/officeDocument/2006/relationships/hyperlink" Target="https://dev.azure.com/BancoPichinchaEC/tpl-bus-omnicanal/_git/sqb-msa-wsclientes0015" TargetMode="External"/><Relationship Id="rId254" Type="http://schemas.openxmlformats.org/officeDocument/2006/relationships/hyperlink" Target="https://BancoPichinchaEC@dev.azure.com/BancoPichinchaEC/tpl-bus-omnicanal/_git/sqb-msa-orqclientes0037" TargetMode="External"/><Relationship Id="rId49" Type="http://schemas.openxmlformats.org/officeDocument/2006/relationships/hyperlink" Target="https://s.icepanel.io/wJSECZOwwNkkW8/X6Zx" TargetMode="External"/><Relationship Id="rId114" Type="http://schemas.openxmlformats.org/officeDocument/2006/relationships/hyperlink" Target="https://dev.azure.com/BancoPichinchaEC/tpl-integration-services-was/_git/ump-umptecnicos0014-was" TargetMode="External"/><Relationship Id="rId296" Type="http://schemas.openxmlformats.org/officeDocument/2006/relationships/hyperlink" Target="https://pichincha.atlassian.net/browse/PCBG-614" TargetMode="External"/><Relationship Id="rId60" Type="http://schemas.openxmlformats.org/officeDocument/2006/relationships/hyperlink" Target="https://s.icepanel.io/wJSECZOwwNkkW8/xhL8" TargetMode="External"/><Relationship Id="rId81" Type="http://schemas.openxmlformats.org/officeDocument/2006/relationships/hyperlink" Target="https://dev.azure.com/BancoPichinchaEC/tpl-bus-omnicanal/_git/sqb-msa-wstecnicos0076" TargetMode="External"/><Relationship Id="rId135" Type="http://schemas.openxmlformats.org/officeDocument/2006/relationships/hyperlink" Target="https://dev.azure.com/BancoPichinchaEC/tpl-bus-omnicanal/_git/sqb-msa-wsclientes0067" TargetMode="External"/><Relationship Id="rId156" Type="http://schemas.openxmlformats.org/officeDocument/2006/relationships/hyperlink" Target="https://dev.azure.com/BancoPichinchaEC/tpl-integration-services-was/_git/ws-wsclientes0098-was" TargetMode="External"/><Relationship Id="rId177" Type="http://schemas.openxmlformats.org/officeDocument/2006/relationships/hyperlink" Target="https://s.icepanel.io/wJSECZOwwNkkW8/SWDZ" TargetMode="External"/><Relationship Id="rId198" Type="http://schemas.openxmlformats.org/officeDocument/2006/relationships/hyperlink" Target="https://dev.azure.com/BancoPichinchaEC/tpl-bus-omnicanal/_git/sqb-msa-orqclientes0062" TargetMode="External"/><Relationship Id="rId321" Type="http://schemas.openxmlformats.org/officeDocument/2006/relationships/hyperlink" Target="https://pichincha.atlassian.net/browse/PCBG-395" TargetMode="External"/><Relationship Id="rId342" Type="http://schemas.openxmlformats.org/officeDocument/2006/relationships/hyperlink" Target="https://pichincha.atlassian.net/browse/PCBG-495" TargetMode="External"/><Relationship Id="rId363" Type="http://schemas.openxmlformats.org/officeDocument/2006/relationships/hyperlink" Target="https://pichincha.atlassian.net/browse/PCBG-504" TargetMode="External"/><Relationship Id="rId384" Type="http://schemas.openxmlformats.org/officeDocument/2006/relationships/hyperlink" Target="https://dev.azure.com/BancoPichinchaEC/adi-especificaciones-tecnicas/_git/adi-doc-tecspec-tribu-integracion-apis?version=GBmaster&amp;path=/sp%20-%20Soporte/tnd-msa-sp-orqclientes0063" TargetMode="External"/><Relationship Id="rId419" Type="http://schemas.openxmlformats.org/officeDocument/2006/relationships/hyperlink" Target="https://dev.azure.com/BancoPichinchaEC/adi-especificaciones-tecnicas/_git/adi-doc-tecspec-tribu-integracion-apis?path=/sp%20-%20Soporte/tnd-msa-sp-wsclientes0122" TargetMode="External"/><Relationship Id="rId202" Type="http://schemas.openxmlformats.org/officeDocument/2006/relationships/hyperlink" Target="https://dev.azure.com/BancoPichinchaEC/tpl-bus-omnicanal/_git/sqb-msa-wsclientes0012" TargetMode="External"/><Relationship Id="rId223" Type="http://schemas.openxmlformats.org/officeDocument/2006/relationships/hyperlink" Target="https://dev.azure.com/BancoPichinchaEC/adi-especificaciones-tecnicas/_git/adi-doc-tecspec-tribu-integracion-apis?version=GBmaster&amp;path=/sp%20-%20Soporte/tnd-msa-sp-wsclientes0104" TargetMode="External"/><Relationship Id="rId244" Type="http://schemas.openxmlformats.org/officeDocument/2006/relationships/hyperlink" Target="https://dev.azure.com/BancoPichinchaEC/adi-especificaciones-tecnicas/_git/adi-doc-tecspec-tribu-integracion-apis?version=GBmaster&amp;path=/sp%20-%20Soporte/csg-msa-sp-orqclientes0005" TargetMode="External"/><Relationship Id="rId430" Type="http://schemas.openxmlformats.org/officeDocument/2006/relationships/hyperlink" Target="https://dev.azure.com/BancoPichinchaEC/adi-especificaciones-tecnicas/_git/adi-doc-tecspec-tribu-integracion-apis?path=/sp%20-%20Soporte/tpr-msa-sp-wsproductos0023" TargetMode="External"/><Relationship Id="rId18" Type="http://schemas.openxmlformats.org/officeDocument/2006/relationships/hyperlink" Target="https://dev.azure.com/BancoPichinchaEC/tpl-bus-omnicanal/_git/sqb-msa-wsclientes0075" TargetMode="External"/><Relationship Id="rId39" Type="http://schemas.openxmlformats.org/officeDocument/2006/relationships/hyperlink" Target="https://app.icepanel.io/landscapes/w71QNHgfDvF79GrSuA3r/versions/latest/diagrams/editor?diagram=hhqQHHJSsg&amp;model=sgwrn80kg0j&amp;overlay_tab=tags&amp;x1=-301.6&amp;y1=-192&amp;x2=1697.6&amp;y2=832" TargetMode="External"/><Relationship Id="rId265" Type="http://schemas.openxmlformats.org/officeDocument/2006/relationships/hyperlink" Target="https://pichincha.atlassian.net/browse/PCBG-583" TargetMode="External"/><Relationship Id="rId286" Type="http://schemas.openxmlformats.org/officeDocument/2006/relationships/hyperlink" Target="https://pichincha.atlassian.net/browse/PCBG-604" TargetMode="External"/><Relationship Id="rId50" Type="http://schemas.openxmlformats.org/officeDocument/2006/relationships/hyperlink" Target="https://s.icepanel.io/wJSECZOwwNkkW8/UdN1" TargetMode="External"/><Relationship Id="rId104" Type="http://schemas.openxmlformats.org/officeDocument/2006/relationships/hyperlink" Target="https://dev.azure.com/BancoPichinchaEC/adi-especificaciones-tecnicas/_git/adi-doc-tecspec-tribu-integracion-apis?version=GBmaster&amp;path=/sp%20-%20Soporte/tnd-msa-sp-orqclientes0004" TargetMode="External"/><Relationship Id="rId125" Type="http://schemas.openxmlformats.org/officeDocument/2006/relationships/hyperlink" Target="https://dev.azure.com/BancoPichinchaEC/adi-especificaciones-tecnicas/_git/adi-doc-tecspec-tribu-integracion-apis?path=/sp%20-%20Soporte/tnd-msa-sp-wsclientes0007" TargetMode="External"/><Relationship Id="rId146" Type="http://schemas.openxmlformats.org/officeDocument/2006/relationships/hyperlink" Target="https://dev.azure.com/BancoPichinchaEC/tpl-integration-services-was/_git/ws-wsclientes0002-was" TargetMode="External"/><Relationship Id="rId167" Type="http://schemas.openxmlformats.org/officeDocument/2006/relationships/hyperlink" Target="https://s.icepanel.io/wJSECZOwwNkkW8/oA39" TargetMode="External"/><Relationship Id="rId188" Type="http://schemas.openxmlformats.org/officeDocument/2006/relationships/hyperlink" Target="https://s.icepanel.io/wJSECZOwwNkkW8/vCwm" TargetMode="External"/><Relationship Id="rId311" Type="http://schemas.openxmlformats.org/officeDocument/2006/relationships/hyperlink" Target="https://pichincha.atlassian.net/browse/PCBG-477" TargetMode="External"/><Relationship Id="rId332" Type="http://schemas.openxmlformats.org/officeDocument/2006/relationships/hyperlink" Target="https://pichincha.atlassian.net/browse/PCBG-486" TargetMode="External"/><Relationship Id="rId353" Type="http://schemas.openxmlformats.org/officeDocument/2006/relationships/hyperlink" Target="https://pichincha.atlassian.net/browse/PCBG-502" TargetMode="External"/><Relationship Id="rId374" Type="http://schemas.openxmlformats.org/officeDocument/2006/relationships/hyperlink" Target="https://pichincha.atlassian.net/browse/PCBG-418" TargetMode="External"/><Relationship Id="rId395" Type="http://schemas.openxmlformats.org/officeDocument/2006/relationships/hyperlink" Target="https://dev.azure.com/BancoPichinchaEC/adi-especificaciones-tecnicas/_git/adi-doc-tecspec-tribu-integracion-apis?path=/sp%20-%20Soporte/tnd-msa-sp-wsclientes0030" TargetMode="External"/><Relationship Id="rId409" Type="http://schemas.openxmlformats.org/officeDocument/2006/relationships/hyperlink" Target="https://dev.azure.com/BancoPichinchaEC/adi-especificaciones-tecnicas/_git/adi-doc-tecspec-tribu-integracion-apis?path=/sp%20-%20Soporte/tpr-msa-sp-wsclientes0078" TargetMode="External"/><Relationship Id="rId71" Type="http://schemas.openxmlformats.org/officeDocument/2006/relationships/hyperlink" Target="https://serviciosexternos.pichincha.com:8445/BPMicrofinanzasProd/Servicios/Rest/FlexibleUpdateWorkOrder" TargetMode="External"/><Relationship Id="rId92" Type="http://schemas.openxmlformats.org/officeDocument/2006/relationships/hyperlink" Target="https://s.icepanel.io/wJSECZOwwNkkW8/EtER" TargetMode="External"/><Relationship Id="rId213" Type="http://schemas.openxmlformats.org/officeDocument/2006/relationships/hyperlink" Target="https://dev.azure.com/BancoPichinchaEC/adi-especificaciones-tecnicas/_git/adi-doc-tecspec-tribu-integracion-apis?version=GBmaster&amp;path=/sp%20-%20Soporte/tnd-msa-sp-orqclientes0036" TargetMode="External"/><Relationship Id="rId234" Type="http://schemas.openxmlformats.org/officeDocument/2006/relationships/hyperlink" Target="https://dev.azure.com/BancoPichinchaEC/adi-especificaciones-tecnicas/_git/adi-doc-tecspec-tribu-integracion-apis?version=GBmaster&amp;path=/sp%20-%20Soporte/tnd-msa-sp-orqclientes0038" TargetMode="External"/><Relationship Id="rId420" Type="http://schemas.openxmlformats.org/officeDocument/2006/relationships/hyperlink" Target="https://dev.azure.com/BancoPichinchaEC/adi-especificaciones-tecnicas/_git/adi-doc-tecspec-tribu-integracion-apis?path=/sp%20-%20Soporte/tnd-msa-sp-wsclientes0153" TargetMode="External"/><Relationship Id="rId2" Type="http://schemas.openxmlformats.org/officeDocument/2006/relationships/hyperlink" Target="https://bpichincha.apps.dynatrace.com/ui/apps/dynatrace.classic.services/ui/nav/SERVICE-FA45833A0B141F6E?gtf=2025-11-18T00:00:00-05:00%20to%202025-11-18T23:59:00-05:00&amp;gf=all" TargetMode="External"/><Relationship Id="rId29" Type="http://schemas.openxmlformats.org/officeDocument/2006/relationships/hyperlink" Target="https://dev.azure.com/BancoPichinchaEC/tpl-bus-omnicanal/_git/sqb-msa-wsclientes0099" TargetMode="External"/><Relationship Id="rId255" Type="http://schemas.openxmlformats.org/officeDocument/2006/relationships/hyperlink" Target="https://dev.azure.com/BancoPichinchaEC/adi-especificaciones-tecnicas/_git/adi-doc-tecspec-tribu-integracion-apis?version=GBmaster&amp;path=/sp%20-%20Soporte/tnd-msa-sp-orqclientes0037" TargetMode="External"/><Relationship Id="rId276" Type="http://schemas.openxmlformats.org/officeDocument/2006/relationships/hyperlink" Target="https://pichincha.atlassian.net/browse/PCBG-594" TargetMode="External"/><Relationship Id="rId297" Type="http://schemas.openxmlformats.org/officeDocument/2006/relationships/hyperlink" Target="https://pichincha.atlassian.net/browse/PCBG-690" TargetMode="External"/><Relationship Id="rId40" Type="http://schemas.openxmlformats.org/officeDocument/2006/relationships/hyperlink" Target="https://app.icepanel.io/landscapes/w71QNHgfDvF79GrSuA3r/versions/latest/diagrams/editor?diagram=uV2Jon7cnA&amp;model=TBYWzEmBgJ&amp;overlay_tab=tags&amp;x1=-301.6&amp;y1=-192&amp;x2=1697.6&amp;y2=832" TargetMode="External"/><Relationship Id="rId115" Type="http://schemas.openxmlformats.org/officeDocument/2006/relationships/hyperlink" Target="https://dev.azure.com/BancoPichinchaEC/adi-especificaciones-tecnicas/_git/adi-doc-tecspec-tribu-integracion-apis?path=/sp%20-%20Soporte/tnd-msa-sp-orqclientes0008" TargetMode="External"/><Relationship Id="rId136" Type="http://schemas.openxmlformats.org/officeDocument/2006/relationships/hyperlink" Target="https://dev.azure.com/BancoPichinchaEC/tpl-bus-omnicanal/_git/sqb-msa-wsclientes0071" TargetMode="External"/><Relationship Id="rId157" Type="http://schemas.openxmlformats.org/officeDocument/2006/relationships/hyperlink" Target="https://dev.azure.com/BancoPichinchaEC/tpl-integration-services-was/_git/ws-wsclientes0091-was?path=%2F&amp;version=GBmaster&amp;_a=contents" TargetMode="External"/><Relationship Id="rId178" Type="http://schemas.openxmlformats.org/officeDocument/2006/relationships/hyperlink" Target="https://s.icepanel.io/wJSECZOwwNkkW8/7Pt5" TargetMode="External"/><Relationship Id="rId301" Type="http://schemas.openxmlformats.org/officeDocument/2006/relationships/hyperlink" Target="https://pichincha.atlassian.net/browse/PCBG-471" TargetMode="External"/><Relationship Id="rId322" Type="http://schemas.openxmlformats.org/officeDocument/2006/relationships/hyperlink" Target="https://pichincha.atlassian.net/browse/PCBG-481" TargetMode="External"/><Relationship Id="rId343" Type="http://schemas.openxmlformats.org/officeDocument/2006/relationships/hyperlink" Target="https://pichincha.atlassian.net/browse/PCBG-496" TargetMode="External"/><Relationship Id="rId364" Type="http://schemas.openxmlformats.org/officeDocument/2006/relationships/hyperlink" Target="https://pichincha.atlassian.net/browse/PCBG-505" TargetMode="External"/><Relationship Id="rId61" Type="http://schemas.openxmlformats.org/officeDocument/2006/relationships/hyperlink" Target="https://s.icepanel.io/wJSECZOwwNkkW8/IS9I" TargetMode="External"/><Relationship Id="rId82" Type="http://schemas.openxmlformats.org/officeDocument/2006/relationships/hyperlink" Target="https://dev.azure.com/BancoPichinchaEC/tpl-bus-omnicanal/_git/sqb-msa-wsclientes0076" TargetMode="External"/><Relationship Id="rId199" Type="http://schemas.openxmlformats.org/officeDocument/2006/relationships/hyperlink" Target="https://dev.azure.com/BancoPichinchaEC/tpl-bus-omnicanal/_git/sqb-msa-orqclientes0063" TargetMode="External"/><Relationship Id="rId203" Type="http://schemas.openxmlformats.org/officeDocument/2006/relationships/hyperlink" Target="https://dev.azure.com/BancoPichinchaEC/tpl-bus-omnicanal/_git/sqb-msa-wsclientes0006" TargetMode="External"/><Relationship Id="rId385" Type="http://schemas.openxmlformats.org/officeDocument/2006/relationships/hyperlink" Target="https://dev.azure.com/BancoPichinchaEC/adi-especificaciones-tecnicas/_git/adi-doc-tecspec-tribu-integracion-apis?version=GBmaster&amp;path=/sp%20-%20Soporte/tnd-msa-sp-orqclientes0072" TargetMode="External"/><Relationship Id="rId19" Type="http://schemas.openxmlformats.org/officeDocument/2006/relationships/hyperlink" Target="https://app.icepanel.io/landscapes/w71QNHgfDvF79GrSuA3r/versions/latest/diagrams/editor?diagram=FQF00gICx0&amp;model=ffdxmqzw1dp&amp;overlay_tab=tags&amp;x1=-1170&amp;y1=-56&amp;x2=2186&amp;y2=1432" TargetMode="External"/><Relationship Id="rId224" Type="http://schemas.openxmlformats.org/officeDocument/2006/relationships/hyperlink" Target="https://dev.azure.com/BancoPichinchaEC/adi-especificaciones-tecnicas/_git/adi-doc-tecspec-tribu-integracion-apis?version=GBmaster&amp;path=/sp%20-%20Soporte/tnd-msa-sp-wstecnicos0076" TargetMode="External"/><Relationship Id="rId245" Type="http://schemas.openxmlformats.org/officeDocument/2006/relationships/hyperlink" Target="https://dev.azure.com/BancoPichinchaEC/adi-especificaciones-tecnicas/_git/adi-doc-tecspec-tribu-integracion-apis?path=/sp%20-%20Soporte/tnd-msa-sp-orqclientes0022" TargetMode="External"/><Relationship Id="rId266" Type="http://schemas.openxmlformats.org/officeDocument/2006/relationships/hyperlink" Target="https://pichincha.atlassian.net/browse/PCBG-584" TargetMode="External"/><Relationship Id="rId287" Type="http://schemas.openxmlformats.org/officeDocument/2006/relationships/hyperlink" Target="https://pichincha.atlassian.net/browse/PCBG-605" TargetMode="External"/><Relationship Id="rId410" Type="http://schemas.openxmlformats.org/officeDocument/2006/relationships/hyperlink" Target="https://dev.azure.com/BancoPichinchaEC/adi-especificaciones-tecnicas/_git/adi-doc-tecspec-tribu-integracion-apis?path=/sp%20-%20Soporte/tnd-msa-sp-wsclientes0081" TargetMode="External"/><Relationship Id="rId431" Type="http://schemas.openxmlformats.org/officeDocument/2006/relationships/hyperlink" Target="https://dev.azure.com/BancoPichinchaEC/adi-especificaciones-tecnicas/_git/adi-doc-tecspec-tribu-integracion-apis?path=/sp%20-%20Soporte/tpr-msa-sp-wsproductos0024" TargetMode="External"/><Relationship Id="rId30" Type="http://schemas.openxmlformats.org/officeDocument/2006/relationships/hyperlink" Target="https://app.icepanel.io/landscapes/w71QNHgfDvF79GrSuA3r/versions/latest/diagrams/editor?diagram=QVLh3yXSvL&amp;model=e9y69eff6aw&amp;overlay_tab=tags&amp;x1=-804.7&amp;y1=-344&amp;x2=2381.5&amp;y2=1288" TargetMode="External"/><Relationship Id="rId105" Type="http://schemas.openxmlformats.org/officeDocument/2006/relationships/hyperlink" Target="https://dev.azure.com/BancoPichinchaEC/tpl-bus-omnicanal/_git/sqb-msa-orqclientes0004" TargetMode="External"/><Relationship Id="rId126" Type="http://schemas.openxmlformats.org/officeDocument/2006/relationships/hyperlink" Target="https://dev.azure.com/BancoPichinchaEC/tpl-bus-omnicanal/_git/sqb-msa-orqclientes0003" TargetMode="External"/><Relationship Id="rId147" Type="http://schemas.openxmlformats.org/officeDocument/2006/relationships/hyperlink" Target="https://dev.azure.com/BancoPichinchaEC/tpl-integration-services-was/_git/ws-WSProductos0024-was" TargetMode="External"/><Relationship Id="rId168" Type="http://schemas.openxmlformats.org/officeDocument/2006/relationships/hyperlink" Target="https://s.icepanel.io/wJSECZOwwNkkW8/9teK" TargetMode="External"/><Relationship Id="rId312" Type="http://schemas.openxmlformats.org/officeDocument/2006/relationships/hyperlink" Target="https://pichincha.atlassian.net/browse/PCBG-389" TargetMode="External"/><Relationship Id="rId333" Type="http://schemas.openxmlformats.org/officeDocument/2006/relationships/hyperlink" Target="https://pichincha.atlassian.net/browse/PCBG-487" TargetMode="External"/><Relationship Id="rId354" Type="http://schemas.openxmlformats.org/officeDocument/2006/relationships/hyperlink" Target="https://pichincha.atlassian.net/browse/PCBG-407" TargetMode="External"/><Relationship Id="rId51" Type="http://schemas.openxmlformats.org/officeDocument/2006/relationships/hyperlink" Target="https://dev.azure.com/BancoPichinchaEC/tpl-bus-omnicanal/_git/sqb-msa-wsclientes0055" TargetMode="External"/><Relationship Id="rId72" Type="http://schemas.openxmlformats.org/officeDocument/2006/relationships/hyperlink" Target="https://app.icepanel.io/landscapes/w71QNHgfDvF79GrSuA3r/versions/latest/diagrams/editor?diagram=yiJxz8tlc9&amp;model=iibzz6dy9xm&amp;overlay_tab=tags&amp;x1=-560&amp;y1=-738.1&amp;x2=2776&amp;y2=1010.1&amp;object=ci7oyg6yci7&amp;object_tab=details" TargetMode="External"/><Relationship Id="rId93" Type="http://schemas.openxmlformats.org/officeDocument/2006/relationships/hyperlink" Target="https://s.icepanel.io/wJSECZOwwNkkW8/xPql" TargetMode="External"/><Relationship Id="rId189" Type="http://schemas.openxmlformats.org/officeDocument/2006/relationships/hyperlink" Target="https://s.icepanel.io/wJSECZOwwNkkW8/t2rT" TargetMode="External"/><Relationship Id="rId375" Type="http://schemas.openxmlformats.org/officeDocument/2006/relationships/hyperlink" Target="https://dev.azure.com/BancoPichinchaEC/adi-especificaciones-tecnicas/_git/adi-doc-tecspec-tribu-integracion-apis?path=/sp%20-%20Soporte/tnd-msa-sp-wstecnicos0035" TargetMode="External"/><Relationship Id="rId396" Type="http://schemas.openxmlformats.org/officeDocument/2006/relationships/hyperlink" Target="https://dev.azure.com/BancoPichinchaEC/adi-especificaciones-tecnicas/_git/adi-doc-tecspec-tribu-integracion-apis?path=/sp%20-%20Soporte/tnd-msa-sp-wsclientes0037" TargetMode="External"/><Relationship Id="rId3" Type="http://schemas.openxmlformats.org/officeDocument/2006/relationships/hyperlink" Target="https://bpichincha.apps.dynatrace.com/ui/apps/dynatrace.classic.services/ui/nav/SERVICE-FDAD00B1167B4286?gtf=-30d%20to%20now&amp;gf=all" TargetMode="External"/><Relationship Id="rId214" Type="http://schemas.openxmlformats.org/officeDocument/2006/relationships/hyperlink" Target="https://dev.azure.com/BancoPichinchaEC/tpl-bus-omnicanal/_git/sqb-msa-wsclientes0037" TargetMode="External"/><Relationship Id="rId235" Type="http://schemas.openxmlformats.org/officeDocument/2006/relationships/hyperlink" Target="https://dev.azure.com/BancoPichinchaEC/adi-especificaciones-tecnicas/_git/adi-doc-tecspec-tribu-integracion-apis?version=GBmaster&amp;path=/sp%20-%20Soporte/tpr-msa-sp-orqclientes0052" TargetMode="External"/><Relationship Id="rId256" Type="http://schemas.openxmlformats.org/officeDocument/2006/relationships/hyperlink" Target="https://dev.azure.com/BancoPichinchaEC/tpl-bus-omnicanal/_git/sqb-msa-wsclientes0060" TargetMode="External"/><Relationship Id="rId277" Type="http://schemas.openxmlformats.org/officeDocument/2006/relationships/hyperlink" Target="https://pichincha.atlassian.net/browse/PCBG-595" TargetMode="External"/><Relationship Id="rId298" Type="http://schemas.openxmlformats.org/officeDocument/2006/relationships/hyperlink" Target="https://pichincha.atlassian.net/browse/PCBG-741" TargetMode="External"/><Relationship Id="rId400" Type="http://schemas.openxmlformats.org/officeDocument/2006/relationships/hyperlink" Target="https://dev.azure.com/BancoPichinchaEC/adi-especificaciones-tecnicas/_git/adi-doc-tecspec-tribu-integracion-apis?version=GBmaster&amp;path=/sp%20-%20Soporte/tnd-msa-sp-bnc-wsclientes0060" TargetMode="External"/><Relationship Id="rId421" Type="http://schemas.openxmlformats.org/officeDocument/2006/relationships/hyperlink" Target="https://dev.azure.com/BancoPichinchaEC/adi-especificaciones-tecnicas/_git/adi-doc-tecspec-tribu-integracion-apis?path=/sp%20-%20Soporte/tnd-msa-sp-wsclientes0156" TargetMode="External"/><Relationship Id="rId116" Type="http://schemas.openxmlformats.org/officeDocument/2006/relationships/hyperlink" Target="https://dev.azure.com/BancoPichinchaEC/tpl-bus-omnicanal/_git/sqb-msa-orqclientes0023" TargetMode="External"/><Relationship Id="rId137" Type="http://schemas.openxmlformats.org/officeDocument/2006/relationships/hyperlink" Target="https://dev.azure.com/BancoPichinchaEC/tpl-bus-omnicanal/_git/sqb-msa-wsclientes0072" TargetMode="External"/><Relationship Id="rId158" Type="http://schemas.openxmlformats.org/officeDocument/2006/relationships/hyperlink" Target="https://dev.azure.com/BancoPichinchaEC/tpl-integration-services-was/_git/ws-wscliente0060-was" TargetMode="External"/><Relationship Id="rId302" Type="http://schemas.openxmlformats.org/officeDocument/2006/relationships/hyperlink" Target="https://pichincha.atlassian.net/browse/PCBG-472" TargetMode="External"/><Relationship Id="rId323" Type="http://schemas.openxmlformats.org/officeDocument/2006/relationships/hyperlink" Target="https://pichincha.atlassian.net/browse/PCBG-482" TargetMode="External"/><Relationship Id="rId344" Type="http://schemas.openxmlformats.org/officeDocument/2006/relationships/hyperlink" Target="https://pichincha.atlassian.net/browse/PCBG-497" TargetMode="External"/><Relationship Id="rId20" Type="http://schemas.openxmlformats.org/officeDocument/2006/relationships/hyperlink" Target="https://dev.azure.com/BancoPichinchaEC/tpl-bus-omnicanal/_git/sqb-msa-wsclientes0102" TargetMode="External"/><Relationship Id="rId41" Type="http://schemas.openxmlformats.org/officeDocument/2006/relationships/hyperlink" Target="https://app.icepanel.io/landscapes/w71QNHgfDvF79GrSuA3r/versions/latest/diagrams/editor?diagram=5SlzCdmf2o&amp;model=052757cjuefp&amp;overlay_tab=tags&amp;x1=-301.6&amp;y1=-192&amp;x2=1697.6&amp;y2=832" TargetMode="External"/><Relationship Id="rId62" Type="http://schemas.openxmlformats.org/officeDocument/2006/relationships/hyperlink" Target="https://s.icepanel.io/wJSECZOwwNkkW8/Q6FF" TargetMode="External"/><Relationship Id="rId83" Type="http://schemas.openxmlformats.org/officeDocument/2006/relationships/hyperlink" Target="https://dev.azure.com/BancoPichinchaEC/tpl-bus-omnicanal/_git/sqb-msa-wsclientes0155" TargetMode="External"/><Relationship Id="rId179" Type="http://schemas.openxmlformats.org/officeDocument/2006/relationships/hyperlink" Target="https://s.icepanel.io/wJSECZOwwNkkW8/5VY3" TargetMode="External"/><Relationship Id="rId365" Type="http://schemas.openxmlformats.org/officeDocument/2006/relationships/hyperlink" Target="https://pichincha.atlassian.net/browse/PCBG-506" TargetMode="External"/><Relationship Id="rId386" Type="http://schemas.openxmlformats.org/officeDocument/2006/relationships/hyperlink" Target="https://dev.azure.com/BancoPichinchaEC/adi-especificaciones-tecnicas/_git/adi-doc-tecspec-tribu-integracion-apis?version=GBmaster&amp;path=/sp%20-%20Soporte/tnd-msa-sp-wsclientes0006" TargetMode="External"/><Relationship Id="rId190" Type="http://schemas.openxmlformats.org/officeDocument/2006/relationships/hyperlink" Target="https://s.icepanel.io/wJSECZOwwNkkW8/01wr" TargetMode="External"/><Relationship Id="rId204" Type="http://schemas.openxmlformats.org/officeDocument/2006/relationships/hyperlink" Target="https://dev.azure.com/BancoPichinchaEC/tpl-bus-omnicanal/_git/sqb-msa-wsclientes0020" TargetMode="External"/><Relationship Id="rId225" Type="http://schemas.openxmlformats.org/officeDocument/2006/relationships/hyperlink" Target="https://dev.azure.com/BancoPichinchaEC/adi-especificaciones-tecnicas/_git/adi-doc-tecspec-tribu-integracion-apis?version=GBmaster&amp;path=/sp%20-%20Soporte/tpr-msa-sp-wsclientes0076" TargetMode="External"/><Relationship Id="rId246" Type="http://schemas.openxmlformats.org/officeDocument/2006/relationships/hyperlink" Target="https://dev.azure.com/BancoPichinchaEC/adi-especificaciones-tecnicas/_git/adi-doc-tecspec-tribu-integracion-apis?version=GBmaster&amp;path=/sp%20-%20Soporte/tnd-msa-sp-orqclientes0040" TargetMode="External"/><Relationship Id="rId267" Type="http://schemas.openxmlformats.org/officeDocument/2006/relationships/hyperlink" Target="https://pichincha.atlassian.net/browse/PCBG-585" TargetMode="External"/><Relationship Id="rId288" Type="http://schemas.openxmlformats.org/officeDocument/2006/relationships/hyperlink" Target="https://pichincha.atlassian.net/browse/PCBG-606" TargetMode="External"/><Relationship Id="rId411" Type="http://schemas.openxmlformats.org/officeDocument/2006/relationships/hyperlink" Target="https://dev.azure.com/BancoPichinchaEC/adi-especificaciones-tecnicas/_git/adi-doc-tecspec-tribu-integracion-apis?path=/sp%20-%20Soporte/tnd-msa-sp-wsclientes0082" TargetMode="External"/><Relationship Id="rId432" Type="http://schemas.openxmlformats.org/officeDocument/2006/relationships/hyperlink" Target="https://dev.azure.com/BancoPichinchaEC/adi-especificaciones-tecnicas/_git/adi-doc-tecspec-tribu-integracion-apis?path=/sp%20-%20Soporte/tpr-msa-sp-wsproductos0082" TargetMode="External"/><Relationship Id="rId106" Type="http://schemas.openxmlformats.org/officeDocument/2006/relationships/hyperlink" Target="https://app.icepanel.io/landscapes/w71QNHgfDvF79GrSuA3r/versions/latest/diagrams/editor?diagram=C7BopaQBkK&amp;model=IpbKqE7HWq&amp;overlay_tab=tags&amp;x1=0&amp;y1=0&amp;x2=1272&amp;y2=564" TargetMode="External"/><Relationship Id="rId127" Type="http://schemas.openxmlformats.org/officeDocument/2006/relationships/hyperlink" Target="https://dev.azure.com/BancoPichinchaEC/tpl-bus-omnicanal/_git/sqb-msa-orqclientes0005" TargetMode="External"/><Relationship Id="rId313" Type="http://schemas.openxmlformats.org/officeDocument/2006/relationships/hyperlink" Target="https://pichincha.atlassian.net/browse/PCBG-478" TargetMode="External"/><Relationship Id="rId10" Type="http://schemas.openxmlformats.org/officeDocument/2006/relationships/hyperlink" Target="https://app.icepanel.io/landscapes/w71QNHgfDvF79GrSuA3r/versions/latest/diagrams/editor?diagram=XwmII61i74&amp;model=v3xbgfajwj&amp;overlay_tab=tags&amp;x1=-1207.1&amp;y1=-56&amp;x2=2239.1&amp;y2=1472" TargetMode="External"/><Relationship Id="rId31" Type="http://schemas.openxmlformats.org/officeDocument/2006/relationships/hyperlink" Target="https://dev.azure.com/BancoPichinchaEC/tpl-bus-omnicanal/_git/sqb-msa-orqclientes0016" TargetMode="External"/><Relationship Id="rId52" Type="http://schemas.openxmlformats.org/officeDocument/2006/relationships/hyperlink" Target="https://dev.azure.com/BancoPichinchaEC/tpl-bus-omnicanal/_git/sqb-msa-orqclientes0008" TargetMode="External"/><Relationship Id="rId73" Type="http://schemas.openxmlformats.org/officeDocument/2006/relationships/hyperlink" Target="https://app.icepanel.io/landscapes/w71QNHgfDvF79GrSuA3r/versions/latest/diagrams/editor?diagram=w8ZzvWjBRz&amp;model=5l2m77vl0fq&amp;overlay_tab=tags&amp;x1=-541&amp;y1=-152&amp;x2=1581&amp;y2=960" TargetMode="External"/><Relationship Id="rId94" Type="http://schemas.openxmlformats.org/officeDocument/2006/relationships/hyperlink" Target="https://s.icepanel.io/wJSECZOwwNkkW8/O5Tt" TargetMode="External"/><Relationship Id="rId148" Type="http://schemas.openxmlformats.org/officeDocument/2006/relationships/hyperlink" Target="https://dev.azure.com/BancoPichinchaEC/tpl-integration-services-was/_git/ws-wsproductos0118-was" TargetMode="External"/><Relationship Id="rId169" Type="http://schemas.openxmlformats.org/officeDocument/2006/relationships/hyperlink" Target="https://s.icepanel.io/wJSECZOwwNkkW8/O8qO" TargetMode="External"/><Relationship Id="rId334" Type="http://schemas.openxmlformats.org/officeDocument/2006/relationships/hyperlink" Target="https://pichincha.atlassian.net/browse/PCBG-488" TargetMode="External"/><Relationship Id="rId355" Type="http://schemas.openxmlformats.org/officeDocument/2006/relationships/hyperlink" Target="https://pichincha.atlassian.net/browse/PCBG-616" TargetMode="External"/><Relationship Id="rId376" Type="http://schemas.openxmlformats.org/officeDocument/2006/relationships/hyperlink" Target="https://dev.azure.com/BancoPichinchaEC/adi-especificaciones-tecnicas/_git/adi-doc-tecspec-tribu-integracion-apis?path=/sp%20-%20Soporte/tpr-msa-sp-wsclientes0091" TargetMode="External"/><Relationship Id="rId397" Type="http://schemas.openxmlformats.org/officeDocument/2006/relationships/hyperlink" Target="https://dev.azure.com/BancoPichinchaEC/adi-especificaciones-tecnicas/_git/adi-doc-tecspec-tribu-integracion-apis?path=/sp%20-%20Soporte/tnd-msa-sp-wsclientes0038" TargetMode="External"/><Relationship Id="rId4" Type="http://schemas.openxmlformats.org/officeDocument/2006/relationships/hyperlink" Target="https://dev.azure.com/BancoPichinchaEC/tpl-bus-omnicanal/_git/sqb-msa-orqclientes0007?path=/com/bpichincha/esb/orqclientes0007/ActualizarCupoCuentaTransaccion31.esql" TargetMode="External"/><Relationship Id="rId180" Type="http://schemas.openxmlformats.org/officeDocument/2006/relationships/hyperlink" Target="https://s.icepanel.io/wJSECZOwwNkkW8/6RQX" TargetMode="External"/><Relationship Id="rId215" Type="http://schemas.openxmlformats.org/officeDocument/2006/relationships/hyperlink" Target="https://dev.azure.com/BancoPichinchaEC/adi-especificaciones-tecnicas/_git/adi-doc-tecspec-tribu-integracion-apis?path=/sp%20-%20Soporte/tnd-msa-sp-wsclientes0103" TargetMode="External"/><Relationship Id="rId236" Type="http://schemas.openxmlformats.org/officeDocument/2006/relationships/hyperlink" Target="https://dev.azure.com/BancoPichinchaEC/adi-especificaciones-tecnicas/_git/adi-doc-tecspec-tribu-integracion-apis?version=GBmaster&amp;path=/sp%20-%20Soporte/tpr-msa-sp-wsclientes0003" TargetMode="External"/><Relationship Id="rId257" Type="http://schemas.openxmlformats.org/officeDocument/2006/relationships/hyperlink" Target="https://dev.azure.com/BancoPichinchaEC/adi-especificaciones-tecnicas/_git/adi-doc-tecspec-tribu-integracion-apis?path=/sp%20-%20Soporte/tpr-msa-sp-orqclientes0007" TargetMode="External"/><Relationship Id="rId278" Type="http://schemas.openxmlformats.org/officeDocument/2006/relationships/hyperlink" Target="https://pichincha.atlassian.net/browse/PCBG-596" TargetMode="External"/><Relationship Id="rId401" Type="http://schemas.openxmlformats.org/officeDocument/2006/relationships/hyperlink" Target="https://dev.azure.com/BancoPichinchaEC/adi-especificaciones-tecnicas/_git/adi-doc-tecspec-tribu-integracion-apis?path=/sp%20-%20Soporte/tnd-msa-sp-wsclientes0061" TargetMode="External"/><Relationship Id="rId422" Type="http://schemas.openxmlformats.org/officeDocument/2006/relationships/hyperlink" Target="https://dev.azure.com/BancoPichinchaEC/adi-especificaciones-tecnicas/_git/adi-doc-tecspec-tribu-integracion-apis?path=/sp%20-%20Soporte/tct-msa-sp-wsproductos0009" TargetMode="External"/><Relationship Id="rId303" Type="http://schemas.openxmlformats.org/officeDocument/2006/relationships/hyperlink" Target="https://pichincha.atlassian.net/browse/PCBG-473" TargetMode="External"/><Relationship Id="rId42" Type="http://schemas.openxmlformats.org/officeDocument/2006/relationships/hyperlink" Target="https://app.icepanel.io/landscapes/w71QNHgfDvF79GrSuA3r/versions/latest/diagrams/editor?diagram=0xsCJ6T9F7&amp;model=9JNMa0g1gL&amp;overlay_tab=tags&amp;x1=-301.6&amp;y1=-192&amp;x2=1697.6&amp;y2=832" TargetMode="External"/><Relationship Id="rId84" Type="http://schemas.openxmlformats.org/officeDocument/2006/relationships/hyperlink" Target="https://dev.azure.com/BancoPichinchaEC/tpl-bus-omnicanal/_git/sqb-msa-wsseguridad0020" TargetMode="External"/><Relationship Id="rId138" Type="http://schemas.openxmlformats.org/officeDocument/2006/relationships/hyperlink" Target="https://dev.azure.com/BancoPichinchaEC/tpl-bus-omnicanal/_git/sqb-msa-wsclientes0082" TargetMode="External"/><Relationship Id="rId345" Type="http://schemas.openxmlformats.org/officeDocument/2006/relationships/hyperlink" Target="https://pichincha.atlassian.net/browse/PCBG-403" TargetMode="External"/><Relationship Id="rId387" Type="http://schemas.openxmlformats.org/officeDocument/2006/relationships/hyperlink" Target="https://dev.azure.com/BancoPichinchaEC/adi-especificaciones-tecnicas/_git/adi-doc-tecspec-tribu-integracion-apis?path=/sp%20-%20Soporte/tnd-msa-sp-wsclientes0011" TargetMode="External"/><Relationship Id="rId191" Type="http://schemas.openxmlformats.org/officeDocument/2006/relationships/hyperlink" Target="https://s.icepanel.io/wJSECZOwwNkkW8/GqFu" TargetMode="External"/><Relationship Id="rId205" Type="http://schemas.openxmlformats.org/officeDocument/2006/relationships/hyperlink" Target="https://dev.azure.com/BancoPichinchaEC/tpl-bus-omnicanal/_git/sqb-msa-orqclientes0054" TargetMode="External"/><Relationship Id="rId247" Type="http://schemas.openxmlformats.org/officeDocument/2006/relationships/hyperlink" Target="https://dev.azure.com/BancoPichinchaEC/adi-especificaciones-tecnicas/_git/adi-doc-tecspec-tribu-integracion-apis?version=GBmaster&amp;path=/sp%20-%20Soporte/tnd-msa-sp-orqclientes0050" TargetMode="External"/><Relationship Id="rId412" Type="http://schemas.openxmlformats.org/officeDocument/2006/relationships/hyperlink" Target="https://dev.azure.com/BancoPichinchaEC/adi-especificaciones-tecnicas/_git/adi-doc-tecspec-tribu-integracion-apis?path=/sp%20-%20Soporte/tnd-msa-sp-wsclientes0096" TargetMode="External"/><Relationship Id="rId107" Type="http://schemas.openxmlformats.org/officeDocument/2006/relationships/hyperlink" Target="https://app.icepanel.io/landscapes/w71QNHgfDvF79GrSuA3r/versions/latest/diagrams/editor?diagram=qXCLgnJ6TO&amp;model=z8l3of38d7&amp;overlay_tab=tags&amp;x1=-642.7&amp;y1=-192&amp;x2=1666.7&amp;y2=832" TargetMode="External"/><Relationship Id="rId289" Type="http://schemas.openxmlformats.org/officeDocument/2006/relationships/hyperlink" Target="https://pichincha.atlassian.net/browse/PCBG-607" TargetMode="External"/><Relationship Id="rId11" Type="http://schemas.openxmlformats.org/officeDocument/2006/relationships/hyperlink" Target="https://dev.azure.com/BancoPichinchaEC/tpl-bus-omnicanal/_git/sqb-msa-wsclientes0028" TargetMode="External"/><Relationship Id="rId53" Type="http://schemas.openxmlformats.org/officeDocument/2006/relationships/hyperlink" Target="https://s.icepanel.io/wJSECZOwwNkkW8/kzAK" TargetMode="External"/><Relationship Id="rId149" Type="http://schemas.openxmlformats.org/officeDocument/2006/relationships/hyperlink" Target="https://dev.azure.com/BancoPichinchaEC/tpl-integration-services-was/_git/ws-wstecnicos0003-was" TargetMode="External"/><Relationship Id="rId314" Type="http://schemas.openxmlformats.org/officeDocument/2006/relationships/hyperlink" Target="https://pichincha.atlassian.net/browse/PCBG-390" TargetMode="External"/><Relationship Id="rId356" Type="http://schemas.openxmlformats.org/officeDocument/2006/relationships/hyperlink" Target="https://pichincha.atlassian.net/browse/PCBG-408" TargetMode="External"/><Relationship Id="rId398" Type="http://schemas.openxmlformats.org/officeDocument/2006/relationships/hyperlink" Target="https://dev.azure.com/BancoPichinchaEC/adi-especificaciones-tecnicas/_git/adi-doc-tecspec-tribu-integracion-apis?path=/sp%20-%20Soporte/tnd-msa-sp-wsclientes0046" TargetMode="External"/><Relationship Id="rId95" Type="http://schemas.openxmlformats.org/officeDocument/2006/relationships/hyperlink" Target="https://s.icepanel.io/wJSECZOwwNkkW8/IHiD" TargetMode="External"/><Relationship Id="rId160" Type="http://schemas.openxmlformats.org/officeDocument/2006/relationships/hyperlink" Target="https://s.icepanel.io/wJSECZOwwNkkW8/geiS" TargetMode="External"/><Relationship Id="rId216" Type="http://schemas.openxmlformats.org/officeDocument/2006/relationships/hyperlink" Target="https://dev.azure.com/BancoPichinchaEC/adi-especificaciones-tecnicas/_git/adi-doc-tecspec-tribu-integracion-apis?path=/sp%20-%20Soporte/mdw-msa-sp-wsreglas0010" TargetMode="External"/><Relationship Id="rId423" Type="http://schemas.openxmlformats.org/officeDocument/2006/relationships/hyperlink" Target="https://dev.azure.com/BancoPichinchaEC/adi-especificaciones-tecnicas/_git/adi-doc-tecspec-tribu-integracion-apis?path=/sp%20-%20Soporte/tpr-msa-sp-wsproductos0016" TargetMode="External"/><Relationship Id="rId258" Type="http://schemas.openxmlformats.org/officeDocument/2006/relationships/hyperlink" Target="https://dev.azure.com/BancoPichinchaEC/adi-especificaciones-tecnicas/_git/adi-doc-tecspec-tribu-integracion-apis?path=/sp%20-%20Soporte/tpr-msa-sp-orqclientes0017" TargetMode="External"/><Relationship Id="rId22" Type="http://schemas.openxmlformats.org/officeDocument/2006/relationships/hyperlink" Target="https://dev.azure.com/BancoPichinchaEC/tpl-bus-omnicanal/_git/sqb-msa-wsclientes0096" TargetMode="External"/><Relationship Id="rId64" Type="http://schemas.openxmlformats.org/officeDocument/2006/relationships/hyperlink" Target="https://s.icepanel.io/wJSECZOwwNkkW8/DIza" TargetMode="External"/><Relationship Id="rId118" Type="http://schemas.openxmlformats.org/officeDocument/2006/relationships/hyperlink" Target="https://app.icepanel.io/landscapes/w71QNHgfDvF79GrSuA3r/versions/latest/diagrams/editor?diagram=7j4OAuqIJo&amp;model=mp2nw11dzy&amp;overlay_tab=tags&amp;x1=47.6&amp;y1=-46&amp;x2=2785&amp;y2=1388.5" TargetMode="External"/><Relationship Id="rId325" Type="http://schemas.openxmlformats.org/officeDocument/2006/relationships/hyperlink" Target="https://pichincha.atlassian.net/browse/PCBG-397" TargetMode="External"/><Relationship Id="rId367" Type="http://schemas.openxmlformats.org/officeDocument/2006/relationships/hyperlink" Target="https://pichincha.atlassian.net/browse/PCBG-507" TargetMode="External"/><Relationship Id="rId171" Type="http://schemas.openxmlformats.org/officeDocument/2006/relationships/hyperlink" Target="https://s.icepanel.io/wJSECZOwwNkkW8/AHFQ" TargetMode="External"/><Relationship Id="rId227" Type="http://schemas.openxmlformats.org/officeDocument/2006/relationships/hyperlink" Target="https://dev.azure.com/BancoPichinchaEC/adi-especificaciones-tecnicas/_git/adi-doc-tecspec-tribu-integracion-apis?version=GBmaster&amp;path=/sp%20-%20Soporte/csg-msa-sp-wsseguridad0020" TargetMode="External"/><Relationship Id="rId269" Type="http://schemas.openxmlformats.org/officeDocument/2006/relationships/hyperlink" Target="https://pichincha.atlassian.net/browse/PCBG-587" TargetMode="External"/><Relationship Id="rId434" Type="http://schemas.openxmlformats.org/officeDocument/2006/relationships/hyperlink" Target="https://dev.azure.com/BancoPichinchaEC/adi-especificaciones-tecnicas/_git/adi-doc-tecspec-tribu-integracion-apis?path=/sp%20-%20Soporte/tnd-msa-sp-wsproductos0118" TargetMode="External"/><Relationship Id="rId33" Type="http://schemas.openxmlformats.org/officeDocument/2006/relationships/hyperlink" Target="https://dev.azure.com/BancoPichinchaEC/tpl-bus-omnicanal/_git/sqb-msa-orqclientes0002" TargetMode="External"/><Relationship Id="rId129" Type="http://schemas.openxmlformats.org/officeDocument/2006/relationships/hyperlink" Target="https://dev.azure.com/BancoPichinchaEC/tpl-bus-omnicanal/_git/sqb-msa-orqclientes0040" TargetMode="External"/><Relationship Id="rId280" Type="http://schemas.openxmlformats.org/officeDocument/2006/relationships/hyperlink" Target="https://pichincha.atlassian.net/browse/PCBG-598" TargetMode="External"/><Relationship Id="rId336" Type="http://schemas.openxmlformats.org/officeDocument/2006/relationships/hyperlink" Target="https://pichincha.atlassian.net/browse/PCBG-401" TargetMode="External"/><Relationship Id="rId75" Type="http://schemas.openxmlformats.org/officeDocument/2006/relationships/hyperlink" Target="https://dev.azure.com/BancoPichinchaEC/tpl-bus-omnicanal/_git/sqb-msa-wsclientes0046" TargetMode="External"/><Relationship Id="rId140" Type="http://schemas.openxmlformats.org/officeDocument/2006/relationships/hyperlink" Target="https://dev.azure.com/BancoPichinchaEC/tpl-bus-omnicanal/_git/sqb-msa-wsclientes0122" TargetMode="External"/><Relationship Id="rId182" Type="http://schemas.openxmlformats.org/officeDocument/2006/relationships/hyperlink" Target="https://s.icepanel.io/wJSECZOwwNkkW8/GlvV" TargetMode="External"/><Relationship Id="rId378" Type="http://schemas.openxmlformats.org/officeDocument/2006/relationships/hyperlink" Target="https://dev.azure.com/BancoPichinchaEC/adi-especificaciones-tecnicas/_git/adi-doc-tecspec-tribu-integracion-apis?path=/sp%20-%20Soporte/tpr-msa-sp-wsclientes0023" TargetMode="External"/><Relationship Id="rId403" Type="http://schemas.openxmlformats.org/officeDocument/2006/relationships/hyperlink" Target="https://dev.azure.com/BancoPichinchaEC/adi-especificaciones-tecnicas/_git/adi-doc-tecspec-tribu-integracion-apis?path=/sp%20-%20Soporte/tnd-msa-sp-wsclientes0063" TargetMode="External"/><Relationship Id="rId6" Type="http://schemas.openxmlformats.org/officeDocument/2006/relationships/hyperlink" Target="https://dev.azure.com/BancoPichinchaEC/tpl-bus-omnicanal/_git/sqb-msa-wsclientes0027" TargetMode="External"/><Relationship Id="rId238" Type="http://schemas.openxmlformats.org/officeDocument/2006/relationships/hyperlink" Target="https://dev.azure.com/BancoPichinchaEC/tpl-bus-omnicanal/_git/sqb-msa-orqclientes0028" TargetMode="External"/><Relationship Id="rId291" Type="http://schemas.openxmlformats.org/officeDocument/2006/relationships/hyperlink" Target="https://pichincha.atlassian.net/browse/PCBG-609" TargetMode="External"/><Relationship Id="rId305" Type="http://schemas.openxmlformats.org/officeDocument/2006/relationships/hyperlink" Target="https://pichincha.atlassian.net/browse/PCBG-385" TargetMode="External"/><Relationship Id="rId347" Type="http://schemas.openxmlformats.org/officeDocument/2006/relationships/hyperlink" Target="https://pichincha.atlassian.net/browse/PCBG-404" TargetMode="External"/><Relationship Id="rId44" Type="http://schemas.openxmlformats.org/officeDocument/2006/relationships/hyperlink" Target="https://app.icepanel.io/landscapes/w71QNHgfDvF79GrSuA3r/versions/latest/diagrams/editor?diagram=LaJkraN0Q6&amp;model=xxjvq38yeak&amp;overlay_tab=tags&amp;x1=-693.6&amp;y1=-88&amp;x2=2445.7&amp;y2=1520" TargetMode="External"/><Relationship Id="rId86" Type="http://schemas.openxmlformats.org/officeDocument/2006/relationships/hyperlink" Target="https://s.icepanel.io/wJSECZOwwNkkW8/6HIP" TargetMode="External"/><Relationship Id="rId151" Type="http://schemas.openxmlformats.org/officeDocument/2006/relationships/hyperlink" Target="https://dev.azure.com/BancoPichinchaEC/tpl-integration-services-was/_git/ws-wstecnicos0036-was" TargetMode="External"/><Relationship Id="rId389" Type="http://schemas.openxmlformats.org/officeDocument/2006/relationships/hyperlink" Target="https://dev.azure.com/BancoPichinchaEC/adi-especificaciones-tecnicas/_git/adi-doc-tecspec-tribu-integracion-apis?path=/sp%20-%20Soporte/tnd-msa-sp-wsclientes0015" TargetMode="External"/><Relationship Id="rId193" Type="http://schemas.openxmlformats.org/officeDocument/2006/relationships/hyperlink" Target="https://s.icepanel.io/wJSECZOwwNkkW8/PkZD" TargetMode="External"/><Relationship Id="rId207" Type="http://schemas.openxmlformats.org/officeDocument/2006/relationships/hyperlink" Target="https://dev.azure.com/BancoPichinchaEC/tpl-bus-omnicanal/_git/sqb-msa-orqclientes0072" TargetMode="External"/><Relationship Id="rId249" Type="http://schemas.openxmlformats.org/officeDocument/2006/relationships/hyperlink" Target="https://dev.azure.com/BancoPichinchaEC/adi-especificaciones-tecnicas/_git/adi-doc-tecspec-tribu-integracion-apis?path=/sp%20-%20Soporte/csg-msa-sp-wsclientes0026" TargetMode="External"/><Relationship Id="rId414" Type="http://schemas.openxmlformats.org/officeDocument/2006/relationships/hyperlink" Target="https://dev.azure.com/BancoPichinchaEC/adi-especificaciones-tecnicas/_git/adi-doc-tecspec-tribu-integracion-apis?path=/sp%20-%20Soporte/tnd-msa-sp-wsclientes0101" TargetMode="External"/><Relationship Id="rId13" Type="http://schemas.openxmlformats.org/officeDocument/2006/relationships/hyperlink" Target="https://dev.azure.com/BancoPichinchaEC/tpl-bus-omnicanal/_git/sqb-msa-wsclientes0111" TargetMode="External"/><Relationship Id="rId109" Type="http://schemas.openxmlformats.org/officeDocument/2006/relationships/hyperlink" Target="https://dev.azure.com/BancoPichinchaEC/adi-especificaciones-tecnicas/_git/adi-doc-tecspec-tribu-integracion-apis?version=GBmaster&amp;path=/sp%20-%20Soporte/tmp-msa-sp-orqclientes0027" TargetMode="External"/><Relationship Id="rId260" Type="http://schemas.openxmlformats.org/officeDocument/2006/relationships/hyperlink" Target="https://dev.azure.com/BancoPichinchaEC/adi-especificaciones-tecnicas/_git/adi-doc-tecspec-tribu-integracion-apis?path=/sp%20-%20Soporte/tpr-msa-sp-orqclientes0026" TargetMode="External"/><Relationship Id="rId316" Type="http://schemas.openxmlformats.org/officeDocument/2006/relationships/hyperlink" Target="https://pichincha.atlassian.net/browse/PCBG-392" TargetMode="External"/><Relationship Id="rId55" Type="http://schemas.openxmlformats.org/officeDocument/2006/relationships/hyperlink" Target="https://dev.azure.com/BancoPichinchaEC/tpl-bus-omnicanal/_git/sqb-msa-orqclientes0038" TargetMode="External"/><Relationship Id="rId97" Type="http://schemas.openxmlformats.org/officeDocument/2006/relationships/hyperlink" Target="https://dev.azure.com/BancoPichinchaEC/tpl-integration-services-was/_git/ws-wsclientes0076-was" TargetMode="External"/><Relationship Id="rId120" Type="http://schemas.openxmlformats.org/officeDocument/2006/relationships/hyperlink" Target="https://dev.azure.com/BancoPichinchaEC/adi-especificaciones-tecnicas/_git/adi-doc-tecspec-tribu-integracion-apis?version=GBmaster&amp;path=/sp%20-%20Soporte/tnd-msa-sp-orqclientes0028" TargetMode="External"/><Relationship Id="rId358" Type="http://schemas.openxmlformats.org/officeDocument/2006/relationships/hyperlink" Target="https://pichincha.atlassian.net/browse/PCBG-410" TargetMode="External"/><Relationship Id="rId162" Type="http://schemas.openxmlformats.org/officeDocument/2006/relationships/hyperlink" Target="https://s.icepanel.io/wJSECZOwwNkkW8/oy6e" TargetMode="External"/><Relationship Id="rId218" Type="http://schemas.openxmlformats.org/officeDocument/2006/relationships/hyperlink" Target="https://dev.azure.com/BancoPichinchaEC/adi-especificaciones-tecnicas/_git/adi-doc-tecspec-tribu-integracion-apis?version=GBmaster&amp;path=/sp%20-%20Soporte/tnd-msa-sp-orqclientes0002" TargetMode="External"/><Relationship Id="rId425" Type="http://schemas.openxmlformats.org/officeDocument/2006/relationships/hyperlink" Target="https://dev.azure.com/BancoPichinchaEC/adi-especificaciones-tecnicas/_git/adi-doc-tecspec-tribu-integracion-apis?path=/sp%20-%20Soporte/tnd-msa-sp-wsproductos0189" TargetMode="External"/><Relationship Id="rId271" Type="http://schemas.openxmlformats.org/officeDocument/2006/relationships/hyperlink" Target="https://pichincha.atlassian.net/browse/PCBG-589" TargetMode="External"/><Relationship Id="rId24" Type="http://schemas.openxmlformats.org/officeDocument/2006/relationships/hyperlink" Target="https://s.icepanel.io/wJSECZOwwNkkW8/9kNS" TargetMode="External"/><Relationship Id="rId66" Type="http://schemas.openxmlformats.org/officeDocument/2006/relationships/hyperlink" Target="https://s.icepanel.io/wJSECZOwwNkkW8/XNiB" TargetMode="External"/><Relationship Id="rId131" Type="http://schemas.openxmlformats.org/officeDocument/2006/relationships/hyperlink" Target="https://dev.azure.com/BancoPichinchaEC/tpl-bus-omnicanal/_git/sqb-msa-orqclientes0053" TargetMode="External"/><Relationship Id="rId327" Type="http://schemas.openxmlformats.org/officeDocument/2006/relationships/hyperlink" Target="https://pichincha.atlassian.net/browse/PCBG-484" TargetMode="External"/><Relationship Id="rId369" Type="http://schemas.openxmlformats.org/officeDocument/2006/relationships/hyperlink" Target="https://pichincha.atlassian.net/browse/PCBG-415" TargetMode="External"/><Relationship Id="rId173" Type="http://schemas.openxmlformats.org/officeDocument/2006/relationships/hyperlink" Target="https://s.icepanel.io/wJSECZOwwNkkW8/DDBi" TargetMode="External"/><Relationship Id="rId229" Type="http://schemas.openxmlformats.org/officeDocument/2006/relationships/hyperlink" Target="https://dev.azure.com/BancoPichinchaEC/adi-especificaciones-tecnicas/_git/adi-doc-tecspec-tribu-integracion-apis?version=GBmaster&amp;path=/sp%20-%20Soporte/tnd-msa-sp-wsseguridad0029" TargetMode="External"/><Relationship Id="rId380" Type="http://schemas.openxmlformats.org/officeDocument/2006/relationships/hyperlink" Target="https://dev.azure.com/BancoPichinchaEC/adi-especificaciones-tecnicas/_git/adi-doc-tecspec-tribu-integracion-apis?version=GBmaster&amp;path=/sp%20-%20Soporte/tnd-msa-sp-orqclientes0029" TargetMode="External"/><Relationship Id="rId436" Type="http://schemas.openxmlformats.org/officeDocument/2006/relationships/printerSettings" Target="../printerSettings/printerSettings2.bin"/><Relationship Id="rId240" Type="http://schemas.openxmlformats.org/officeDocument/2006/relationships/hyperlink" Target="https://s.icepanel.io/wJSECZOwwNkkW8/CUjN" TargetMode="External"/><Relationship Id="rId35" Type="http://schemas.openxmlformats.org/officeDocument/2006/relationships/hyperlink" Target="https://dev.azure.com/BancoPichinchaEC/tpl-bus-omnicanal/_git/sqb-msa-wsclientes0103" TargetMode="External"/><Relationship Id="rId77" Type="http://schemas.openxmlformats.org/officeDocument/2006/relationships/hyperlink" Target="https://dev.azure.com/BancoPichinchaEC/tpl-bus-omnicanal/_git/sqb-msa-wsclientes0101" TargetMode="External"/><Relationship Id="rId100" Type="http://schemas.openxmlformats.org/officeDocument/2006/relationships/hyperlink" Target="https://s.icepanel.io/wJSECZOwwNkkW8/7fCb" TargetMode="External"/><Relationship Id="rId282" Type="http://schemas.openxmlformats.org/officeDocument/2006/relationships/hyperlink" Target="https://pichincha.atlassian.net/browse/PCBG-600" TargetMode="External"/><Relationship Id="rId338" Type="http://schemas.openxmlformats.org/officeDocument/2006/relationships/hyperlink" Target="https://pichincha.atlassian.net/browse/PCBG-490" TargetMode="External"/><Relationship Id="rId8" Type="http://schemas.openxmlformats.org/officeDocument/2006/relationships/hyperlink" Target="https://app.icepanel.io/landscapes/w71QNHgfDvF79GrSuA3r/versions/latest/diagrams/editor?domain=z5rnxbake2&amp;diagram=r5OdNur28F&amp;model=7occc01ipao&amp;overlay_tab=tags&amp;x1=-773.6&amp;y1=-72&amp;x2=1717.6&amp;y2=1248" TargetMode="External"/><Relationship Id="rId142" Type="http://schemas.openxmlformats.org/officeDocument/2006/relationships/hyperlink" Target="https://dev.azure.com/BancoPichinchaEC/tpl-bus-omnicanal/_git/sqb-msa-wsproductos0016" TargetMode="External"/><Relationship Id="rId184" Type="http://schemas.openxmlformats.org/officeDocument/2006/relationships/hyperlink" Target="https://s.icepanel.io/wJSECZOwwNkkW8/25nm" TargetMode="External"/><Relationship Id="rId391" Type="http://schemas.openxmlformats.org/officeDocument/2006/relationships/hyperlink" Target="https://dev.azure.com/BancoPichinchaEC/adi-especificaciones-tecnicas/_git/adi-doc-tecspec-tribu-integracion-apis?path=/sp%20-%20Soporte/tpr-msa-sp-wsclientes0025" TargetMode="External"/><Relationship Id="rId405" Type="http://schemas.openxmlformats.org/officeDocument/2006/relationships/hyperlink" Target="https://dev.azure.com/BancoPichinchaEC/adi-especificaciones-tecnicas/_git/adi-doc-tecspec-tribu-integracion-apis?path=/sp%20-%20Soporte/tnd-msa-sp-wsclientes0071" TargetMode="External"/><Relationship Id="rId251" Type="http://schemas.openxmlformats.org/officeDocument/2006/relationships/hyperlink" Target="https://dev.azure.com/BancoPichinchaEC/adi-especificaciones-tecnicas/_git/adi-doc-tecspec-tribu-integracion-apis?path=/sp%20-%20Soporte/tnd-msa-sp-wsclientes0098" TargetMode="External"/><Relationship Id="rId46" Type="http://schemas.openxmlformats.org/officeDocument/2006/relationships/hyperlink" Target="https://app.icepanel.io/landscapes/w71QNHgfDvF79GrSuA3r/versions/latest/diagrams/editor?diagram=jr6tBcvecA&amp;model=rtMNNqSS3M&amp;overlay_tab=tags&amp;x1=-778.8&amp;y1=-192&amp;x2=2501.1&amp;y2=1488" TargetMode="External"/><Relationship Id="rId293" Type="http://schemas.openxmlformats.org/officeDocument/2006/relationships/hyperlink" Target="https://pichincha.atlassian.net/browse/PCBG-611" TargetMode="External"/><Relationship Id="rId307" Type="http://schemas.openxmlformats.org/officeDocument/2006/relationships/hyperlink" Target="https://pichincha.atlassian.net/browse/PCBG-474" TargetMode="External"/><Relationship Id="rId349" Type="http://schemas.openxmlformats.org/officeDocument/2006/relationships/hyperlink" Target="https://pichincha.atlassian.net/browse/PCBG-406" TargetMode="External"/><Relationship Id="rId88" Type="http://schemas.openxmlformats.org/officeDocument/2006/relationships/hyperlink" Target="https://s.icepanel.io/wJSECZOwwNkkW8/zJIi" TargetMode="External"/><Relationship Id="rId111" Type="http://schemas.openxmlformats.org/officeDocument/2006/relationships/hyperlink" Target="https://s.icepanel.io/wJSECZOwwNkkW8/sDBV" TargetMode="External"/><Relationship Id="rId153" Type="http://schemas.openxmlformats.org/officeDocument/2006/relationships/hyperlink" Target="https://dev.azure.com/BancoPichinchaEC/tpl-integration-services-was/_git/ws-wsclientes0010-was" TargetMode="External"/><Relationship Id="rId195" Type="http://schemas.openxmlformats.org/officeDocument/2006/relationships/hyperlink" Target="https://s.icepanel.io/wJSECZOwwNkkW8/Chdz" TargetMode="External"/><Relationship Id="rId209" Type="http://schemas.openxmlformats.org/officeDocument/2006/relationships/hyperlink" Target="https://dev.azure.com/BancoPichinchaEC/tpl-bus-omnicanal/_git/sqb-msa-wsclientes0007" TargetMode="External"/><Relationship Id="rId360" Type="http://schemas.openxmlformats.org/officeDocument/2006/relationships/hyperlink" Target="https://pichincha.atlassian.net/browse/PCBG-412" TargetMode="External"/><Relationship Id="rId416" Type="http://schemas.openxmlformats.org/officeDocument/2006/relationships/hyperlink" Target="https://dev.azure.com/BancoPichinchaEC/adi-especificaciones-tecnicas/_git/adi-doc-tecspec-tribu-integracion-apis?path=/sp%20-%20Soporte/tnd-msa-sp-wsclientes0108" TargetMode="External"/><Relationship Id="rId220" Type="http://schemas.openxmlformats.org/officeDocument/2006/relationships/hyperlink" Target="https://dev.azure.com/BancoPichinchaEC/adi-especificaciones-tecnicas/_git/adi-doc-tecspec-tribu-integracion-apis?path=/sp%20-%20Soporte/tpr-msa-sp-orqclientes0025" TargetMode="External"/><Relationship Id="rId15" Type="http://schemas.openxmlformats.org/officeDocument/2006/relationships/hyperlink" Target="https://dev.azure.com/BancoPichinchaEC/tpl-bus-omnicanal/_git/sqb-msa-wsclientes0074" TargetMode="External"/><Relationship Id="rId57" Type="http://schemas.openxmlformats.org/officeDocument/2006/relationships/hyperlink" Target="https://dev.azure.com/BancoPichinchaEC/tpl-bus-omnicanal/_git/sqb-msa-wsclientes0077" TargetMode="External"/><Relationship Id="rId262" Type="http://schemas.openxmlformats.org/officeDocument/2006/relationships/hyperlink" Target="https://dev.azure.com/BancoPichinchaEC/adi-especificaciones-tecnicas/_git/adi-doc-tecspec-tribu-integracion-apis?version=GBmaster&amp;path=/sp%20-%20Soporte/csg-msa-sp-wsreglas0004" TargetMode="External"/><Relationship Id="rId318" Type="http://schemas.openxmlformats.org/officeDocument/2006/relationships/hyperlink" Target="https://pichincha.atlassian.net/browse/PCBG-479" TargetMode="External"/><Relationship Id="rId99" Type="http://schemas.openxmlformats.org/officeDocument/2006/relationships/hyperlink" Target="https://s.icepanel.io/wJSECZOwwNkkW8/WmFs" TargetMode="External"/><Relationship Id="rId122" Type="http://schemas.openxmlformats.org/officeDocument/2006/relationships/hyperlink" Target="https://dev.azure.com/BancoPichinchaEC/tpl-bus-omnicanal/_git/sqb-msa-wsclientes0063" TargetMode="External"/><Relationship Id="rId164" Type="http://schemas.openxmlformats.org/officeDocument/2006/relationships/hyperlink" Target="https://s.icepanel.io/wJSECZOwwNkkW8/EgCH" TargetMode="External"/><Relationship Id="rId371" Type="http://schemas.openxmlformats.org/officeDocument/2006/relationships/hyperlink" Target="https://pichincha.atlassian.net/browse/PCBG-416" TargetMode="External"/><Relationship Id="rId427" Type="http://schemas.openxmlformats.org/officeDocument/2006/relationships/hyperlink" Target="https://dev.azure.com/BancoPichinchaEC/adi-especificaciones-tecnicas/_git/adi-doc-tecspec-tribu-integracion-apis?path=/sp%20-%20Soporte/csg-msa-sp-wstecnicos0027" TargetMode="External"/><Relationship Id="rId26" Type="http://schemas.openxmlformats.org/officeDocument/2006/relationships/hyperlink" Target="https://dev.azure.com/BancoPichinchaEC/tpl-bus-omnicanal/_git/sqb-msa-orqclientes0045" TargetMode="External"/><Relationship Id="rId231" Type="http://schemas.openxmlformats.org/officeDocument/2006/relationships/hyperlink" Target="https://dev.azure.com/BancoPichinchaEC/adi-especificaciones-tecnicas/_git/adi-doc-tecspec-tribu-integracion-apis?path=/sp%20-%20Soporte/tnd-msa-sp-wstecnicos0039" TargetMode="External"/><Relationship Id="rId273" Type="http://schemas.openxmlformats.org/officeDocument/2006/relationships/hyperlink" Target="https://pichincha.atlassian.net/browse/PCBG-591" TargetMode="External"/><Relationship Id="rId329" Type="http://schemas.openxmlformats.org/officeDocument/2006/relationships/hyperlink" Target="https://pichincha.atlassian.net/browse/PCBG-743" TargetMode="External"/><Relationship Id="rId68" Type="http://schemas.openxmlformats.org/officeDocument/2006/relationships/hyperlink" Target="https://dev.azure.com/BancoPichinchaEC/tpl-bus-omnicanal/_git/sqb-msa-orqclientes0035" TargetMode="External"/><Relationship Id="rId133" Type="http://schemas.openxmlformats.org/officeDocument/2006/relationships/hyperlink" Target="https://dev.azure.com/BancoPichinchaEC/tpl-bus-omnicanal/_git/sqb-msa-wsclientes0038" TargetMode="External"/><Relationship Id="rId175" Type="http://schemas.openxmlformats.org/officeDocument/2006/relationships/hyperlink" Target="https://s.icepanel.io/wJSECZOwwNkkW8/5ZQY" TargetMode="External"/><Relationship Id="rId340" Type="http://schemas.openxmlformats.org/officeDocument/2006/relationships/hyperlink" Target="https://pichincha.atlassian.net/browse/PCBG-492" TargetMode="External"/><Relationship Id="rId200" Type="http://schemas.openxmlformats.org/officeDocument/2006/relationships/hyperlink" Target="https://dev.azure.com/BancoPichinchaEC/tpl-bus-omnicanal/_git/sqb-msa-orqclientes0071" TargetMode="External"/><Relationship Id="rId382" Type="http://schemas.openxmlformats.org/officeDocument/2006/relationships/hyperlink" Target="https://dev.azure.com/BancoPichinchaEC/adi-especificaciones-tecnicas/_git/adi-doc-tecspec-tribu-integracion-apis?version=GBmaster&amp;path=/sp%20-%20Soporte/tnd-msa-sp-orqclientes0056" TargetMode="External"/><Relationship Id="rId438" Type="http://schemas.openxmlformats.org/officeDocument/2006/relationships/comments" Target="../comments1.xml"/><Relationship Id="rId242" Type="http://schemas.openxmlformats.org/officeDocument/2006/relationships/hyperlink" Target="https://s.icepanel.io/wJSECZOwwNkkW8/bfwG" TargetMode="External"/><Relationship Id="rId284" Type="http://schemas.openxmlformats.org/officeDocument/2006/relationships/hyperlink" Target="https://pichincha.atlassian.net/browse/PCBG-602" TargetMode="External"/><Relationship Id="rId37" Type="http://schemas.openxmlformats.org/officeDocument/2006/relationships/hyperlink" Target="https://dev.azure.com/BancoPichinchaEC/tpl-integration-services-was/_git/ws-wsclientes0154-was" TargetMode="External"/><Relationship Id="rId79" Type="http://schemas.openxmlformats.org/officeDocument/2006/relationships/hyperlink" Target="https://dev.azure.com/BancoPichinchaEC/tpl-bus-omnicanal/_git/sqb-msa-wsclientes0156" TargetMode="External"/><Relationship Id="rId102" Type="http://schemas.openxmlformats.org/officeDocument/2006/relationships/hyperlink" Target="https://dev.azure.com/BancoPichinchaEC/tpl-bus-omnicanal/_git/sqb-msa-orqclientes0019" TargetMode="External"/><Relationship Id="rId144" Type="http://schemas.openxmlformats.org/officeDocument/2006/relationships/hyperlink" Target="https://dev.azure.com/BancoPichinchaEC/tpl-bus-omnicanal/_git/sqb-msa-wstecnicos0027" TargetMode="External"/><Relationship Id="rId90" Type="http://schemas.openxmlformats.org/officeDocument/2006/relationships/hyperlink" Target="https://s.icepanel.io/wJSECZOwwNkkW8/QOc8" TargetMode="External"/><Relationship Id="rId186" Type="http://schemas.openxmlformats.org/officeDocument/2006/relationships/hyperlink" Target="https://s.icepanel.io/wJSECZOwwNkkW8/9gBY" TargetMode="External"/><Relationship Id="rId351" Type="http://schemas.openxmlformats.org/officeDocument/2006/relationships/hyperlink" Target="https://pichincha.atlassian.net/browse/PCBG-500" TargetMode="External"/><Relationship Id="rId393" Type="http://schemas.openxmlformats.org/officeDocument/2006/relationships/hyperlink" Target="https://dev.azure.com/BancoPichinchaEC/adi-especificaciones-tecnicas/_git/adi-doc-tecspec-tribu-integracion-apis?path=/sp%20-%20Soporte/tnd-msa-sp-wsclientes0028" TargetMode="External"/><Relationship Id="rId407" Type="http://schemas.openxmlformats.org/officeDocument/2006/relationships/hyperlink" Target="https://dev.azure.com/BancoPichinchaEC/adi-especificaciones-tecnicas/_git/adi-doc-tecspec-tribu-integracion-apis?path=/sp%20-%20Soporte/tpr-msa-sp-wsclientes0075" TargetMode="External"/><Relationship Id="rId211" Type="http://schemas.openxmlformats.org/officeDocument/2006/relationships/hyperlink" Target="https://dev.azure.com/BancoPichinchaEC/tpl-bus-omnicanal/_git/sqb-msa-wsclientes0013" TargetMode="External"/><Relationship Id="rId253" Type="http://schemas.openxmlformats.org/officeDocument/2006/relationships/hyperlink" Target="https://dev.azure.com/BancoPichinchaEC/adi-especificaciones-tecnicas/_git/adi-doc-tecspec-tribu-integracion-apis?path=/sp%20-%20Soporte/tnd-msa-sp-wstecnicos0036" TargetMode="External"/><Relationship Id="rId295" Type="http://schemas.openxmlformats.org/officeDocument/2006/relationships/hyperlink" Target="https://pichincha.atlassian.net/browse/PCBG-687" TargetMode="External"/><Relationship Id="rId309" Type="http://schemas.openxmlformats.org/officeDocument/2006/relationships/hyperlink" Target="https://pichincha.atlassian.net/browse/PCBG-475" TargetMode="External"/><Relationship Id="rId48" Type="http://schemas.openxmlformats.org/officeDocument/2006/relationships/hyperlink" Target="https://app.icepanel.io/landscapes/w71QNHgfDvF79GrSuA3r/versions/latest/diagrams/editor?diagram=TdxS2cwCdc&amp;model=WutCmrX504&amp;overlay_tab=tags&amp;x1=-637.8&amp;y1=-56&amp;x2=2157.9&amp;y2=1376" TargetMode="External"/><Relationship Id="rId113" Type="http://schemas.openxmlformats.org/officeDocument/2006/relationships/hyperlink" Target="https://s.icepanel.io/wJSECZOwwNkkW8/FFEE" TargetMode="External"/><Relationship Id="rId320" Type="http://schemas.openxmlformats.org/officeDocument/2006/relationships/hyperlink" Target="https://pichincha.atlassian.net/browse/PCBG-480" TargetMode="External"/><Relationship Id="rId155" Type="http://schemas.openxmlformats.org/officeDocument/2006/relationships/hyperlink" Target="https://dev.azure.com/BancoPichinchaEC/tpl-integration-services-was/_git/ws-wsclientes0026-was" TargetMode="External"/><Relationship Id="rId197" Type="http://schemas.openxmlformats.org/officeDocument/2006/relationships/hyperlink" Target="https://dev.azure.com/BancoPichinchaEC/tpl-bus-omnicanal/_git/sqb-msa-orqclientes0059" TargetMode="External"/><Relationship Id="rId362" Type="http://schemas.openxmlformats.org/officeDocument/2006/relationships/hyperlink" Target="https://pichincha.atlassian.net/browse/PCBG-503" TargetMode="External"/><Relationship Id="rId418" Type="http://schemas.openxmlformats.org/officeDocument/2006/relationships/hyperlink" Target="https://dev.azure.com/BancoPichinchaEC/adi-especificaciones-tecnicas/_git/adi-doc-tecspec-tribu-integracion-apis?path=/sp%20-%20Soporte/tnd-msa-sp-wsclientes0114" TargetMode="External"/><Relationship Id="rId222" Type="http://schemas.openxmlformats.org/officeDocument/2006/relationships/hyperlink" Target="https://dev.azure.com/BancoPichinchaEC/adi-especificaciones-tecnicas/_git/adi-doc-tecspec-tribu-integracion-apis?version=GBmaster&amp;path=/sp%20-%20Soporte/tpr-msa-sp-wsclientes0001" TargetMode="External"/><Relationship Id="rId264" Type="http://schemas.openxmlformats.org/officeDocument/2006/relationships/hyperlink" Target="https://pichincha.atlassian.net/browse/PCBG-654" TargetMode="External"/><Relationship Id="rId17" Type="http://schemas.openxmlformats.org/officeDocument/2006/relationships/hyperlink" Target="https://dev.azure.com/BancoPichinchaEC/tpl-bus-omnicanal/_git/sqb-msa-wsclientes0096" TargetMode="External"/><Relationship Id="rId59" Type="http://schemas.openxmlformats.org/officeDocument/2006/relationships/hyperlink" Target="https://dev.azure.com/BancoPichinchaEC/tpl-bus-omnicanal/_git/sqb-msa-wsseguridad0067" TargetMode="External"/><Relationship Id="rId124" Type="http://schemas.openxmlformats.org/officeDocument/2006/relationships/hyperlink" Target="https://dev.azure.com/BancoPichinchaEC/adi-especificaciones-tecnicas/_git/adi-doc-tecspec-tribu-integracion-apis?version=GBmaster&amp;path=/sp%20-%20Soporte/tnd-msa-sp-orqclientes0048" TargetMode="External"/><Relationship Id="rId70" Type="http://schemas.openxmlformats.org/officeDocument/2006/relationships/hyperlink" Target="https://serviciosexternos.pichincha.com:8445/BPMicrofinanzasProd/Servicios/Rest/FlexibleUpdateWorkOrder" TargetMode="External"/><Relationship Id="rId166" Type="http://schemas.openxmlformats.org/officeDocument/2006/relationships/hyperlink" Target="https://s.icepanel.io/wJSECZOwwNkkW8/ZZ0C" TargetMode="External"/><Relationship Id="rId331" Type="http://schemas.openxmlformats.org/officeDocument/2006/relationships/hyperlink" Target="https://pichincha.atlassian.net/browse/PCBG-400" TargetMode="External"/><Relationship Id="rId373" Type="http://schemas.openxmlformats.org/officeDocument/2006/relationships/hyperlink" Target="https://pichincha.atlassian.net/browse/PCBG-417" TargetMode="External"/><Relationship Id="rId429" Type="http://schemas.openxmlformats.org/officeDocument/2006/relationships/hyperlink" Target="https://dev.azure.com/BancoPichinchaEC/adi-especificaciones-tecnicas/_git/adi-doc-tecspec-tribu-integracion-apis?path=/sp%20-%20Soporte/tpr-msa-sp-wsclientes0002" TargetMode="External"/><Relationship Id="rId1" Type="http://schemas.openxmlformats.org/officeDocument/2006/relationships/hyperlink" Target="https://bpichincha.apps.dynatrace.com/ui/apps/dynatrace.classic.services/ui/nav/SERVICE-C06BD66FBCD52E9F?gtf=2025-11-18T00:00:00-05:00%20to%202025-11-18T23:59:00-05:00&amp;gf=all" TargetMode="External"/><Relationship Id="rId233" Type="http://schemas.openxmlformats.org/officeDocument/2006/relationships/hyperlink" Target="https://dev.azure.com/BancoPichinchaEC/adi-especificaciones-tecnicas/_git/adi-doc-tecspec-tribu-integracion-apis?version=GBmaster&amp;path=/sp%20-%20Soporte/tnd-msa-sp-wstecnicos0077" TargetMode="External"/><Relationship Id="rId440" Type="http://schemas.microsoft.com/office/2019/04/relationships/namedSheetView" Target="../namedSheetViews/namedSheetView1.xml"/><Relationship Id="rId28" Type="http://schemas.openxmlformats.org/officeDocument/2006/relationships/hyperlink" Target="https://s.icepanel.io/wJSECZOwwNkkW8/NIXN" TargetMode="External"/><Relationship Id="rId275" Type="http://schemas.openxmlformats.org/officeDocument/2006/relationships/hyperlink" Target="https://pichincha.atlassian.net/browse/PCBG-593" TargetMode="External"/><Relationship Id="rId300" Type="http://schemas.openxmlformats.org/officeDocument/2006/relationships/hyperlink" Target="https://pichincha.atlassian.net/browse/PCBG-3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CC418-0D28-469E-A71A-913F773DFCCA}">
  <dimension ref="A1:A47"/>
  <sheetViews>
    <sheetView workbookViewId="0"/>
  </sheetViews>
  <sheetFormatPr baseColWidth="10" defaultColWidth="11.5" defaultRowHeight="15"/>
  <cols>
    <col min="1" max="1" width="39.1640625" bestFit="1"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9365-A730-4796-A10E-868075E8AED6}">
  <dimension ref="A1:I33"/>
  <sheetViews>
    <sheetView workbookViewId="0">
      <selection activeCell="G16" sqref="G16"/>
    </sheetView>
  </sheetViews>
  <sheetFormatPr baseColWidth="10" defaultColWidth="11.5" defaultRowHeight="15"/>
  <cols>
    <col min="1" max="1" width="57.33203125" bestFit="1" customWidth="1"/>
    <col min="2" max="2" width="13.83203125" customWidth="1"/>
  </cols>
  <sheetData>
    <row r="1" spans="1:9">
      <c r="A1" s="17" t="s">
        <v>47</v>
      </c>
      <c r="B1" s="17" t="s">
        <v>48</v>
      </c>
    </row>
    <row r="2" spans="1:9">
      <c r="A2" s="11" t="s">
        <v>49</v>
      </c>
      <c r="B2" s="11" t="s">
        <v>50</v>
      </c>
      <c r="D2" t="str">
        <f>CONCATENATE(B2,"-middleware")</f>
        <v>tac-middleware</v>
      </c>
      <c r="I2" t="str">
        <f>CONCATENATE("- "";A2,""")</f>
        <v>- ";A2,"</v>
      </c>
    </row>
    <row r="3" spans="1:9" ht="16">
      <c r="A3" s="11" t="s">
        <v>51</v>
      </c>
      <c r="B3" s="107" t="s">
        <v>52</v>
      </c>
      <c r="D3" t="str">
        <f t="shared" ref="D3:D33" si="0">CONCATENATE(B3,"-middleware")</f>
        <v>tca-middleware</v>
      </c>
    </row>
    <row r="4" spans="1:9" ht="16">
      <c r="A4" s="11" t="s">
        <v>53</v>
      </c>
      <c r="B4" s="107" t="s">
        <v>54</v>
      </c>
      <c r="D4" t="str">
        <f t="shared" si="0"/>
        <v>cda-middleware</v>
      </c>
    </row>
    <row r="5" spans="1:9" ht="16">
      <c r="A5" s="11" t="s">
        <v>55</v>
      </c>
      <c r="B5" s="107" t="s">
        <v>56</v>
      </c>
      <c r="D5" t="str">
        <f t="shared" si="0"/>
        <v>tem-middleware</v>
      </c>
    </row>
    <row r="6" spans="1:9" ht="16">
      <c r="A6" s="11" t="s">
        <v>57</v>
      </c>
      <c r="B6" s="107" t="s">
        <v>58</v>
      </c>
      <c r="D6" t="str">
        <f t="shared" si="0"/>
        <v>tmp-middleware</v>
      </c>
    </row>
    <row r="7" spans="1:9" ht="16">
      <c r="A7" s="11" t="s">
        <v>59</v>
      </c>
      <c r="B7" s="107" t="s">
        <v>60</v>
      </c>
      <c r="D7" t="str">
        <f t="shared" si="0"/>
        <v>tpr-middleware</v>
      </c>
    </row>
    <row r="8" spans="1:9" ht="16">
      <c r="A8" s="11" t="s">
        <v>61</v>
      </c>
      <c r="B8" s="107" t="s">
        <v>62</v>
      </c>
      <c r="D8" t="str">
        <f t="shared" si="0"/>
        <v>tnd-middleware</v>
      </c>
    </row>
    <row r="9" spans="1:9" ht="16">
      <c r="A9" s="11" t="s">
        <v>63</v>
      </c>
      <c r="B9" s="107" t="s">
        <v>64</v>
      </c>
      <c r="D9" t="str">
        <f t="shared" si="0"/>
        <v>tmi-middleware</v>
      </c>
    </row>
    <row r="10" spans="1:9" ht="16">
      <c r="A10" s="11" t="s">
        <v>65</v>
      </c>
      <c r="B10" s="107" t="s">
        <v>66</v>
      </c>
      <c r="D10" t="str">
        <f t="shared" si="0"/>
        <v>csg-middleware</v>
      </c>
    </row>
    <row r="11" spans="1:9">
      <c r="A11" s="11" t="s">
        <v>67</v>
      </c>
      <c r="B11" s="11"/>
      <c r="D11" t="str">
        <f t="shared" si="0"/>
        <v>-middleware</v>
      </c>
    </row>
    <row r="12" spans="1:9">
      <c r="A12" s="11" t="s">
        <v>68</v>
      </c>
      <c r="B12" s="11"/>
      <c r="D12" t="str">
        <f t="shared" si="0"/>
        <v>-middleware</v>
      </c>
    </row>
    <row r="13" spans="1:9">
      <c r="A13" s="11" t="s">
        <v>69</v>
      </c>
      <c r="B13" s="11"/>
      <c r="D13" t="str">
        <f t="shared" si="0"/>
        <v>-middleware</v>
      </c>
    </row>
    <row r="14" spans="1:9">
      <c r="A14" s="11" t="s">
        <v>70</v>
      </c>
      <c r="B14" s="11"/>
      <c r="D14" t="str">
        <f t="shared" si="0"/>
        <v>-middleware</v>
      </c>
    </row>
    <row r="15" spans="1:9">
      <c r="A15" s="11" t="s">
        <v>71</v>
      </c>
      <c r="B15" s="11"/>
      <c r="D15" t="str">
        <f t="shared" si="0"/>
        <v>-middleware</v>
      </c>
    </row>
    <row r="16" spans="1:9">
      <c r="A16" s="11" t="s">
        <v>72</v>
      </c>
      <c r="B16" s="11" t="s">
        <v>73</v>
      </c>
      <c r="D16" t="str">
        <f t="shared" si="0"/>
        <v>taa-middleware</v>
      </c>
    </row>
    <row r="17" spans="1:6">
      <c r="A17" s="11" t="s">
        <v>74</v>
      </c>
      <c r="B17" s="11"/>
      <c r="D17" t="str">
        <f t="shared" si="0"/>
        <v>-middleware</v>
      </c>
    </row>
    <row r="18" spans="1:6">
      <c r="A18" s="11" t="s">
        <v>75</v>
      </c>
      <c r="B18" s="11" t="s">
        <v>76</v>
      </c>
      <c r="D18" t="str">
        <f t="shared" si="0"/>
        <v>trm-middleware</v>
      </c>
    </row>
    <row r="19" spans="1:6" ht="16">
      <c r="A19" s="11" t="s">
        <v>77</v>
      </c>
      <c r="B19" s="107" t="s">
        <v>78</v>
      </c>
      <c r="D19" t="str">
        <f t="shared" si="0"/>
        <v>tct-middleware</v>
      </c>
    </row>
    <row r="20" spans="1:6">
      <c r="A20" s="11" t="s">
        <v>79</v>
      </c>
      <c r="B20" t="s">
        <v>80</v>
      </c>
      <c r="D20" t="str">
        <f t="shared" si="0"/>
        <v>cee-middleware</v>
      </c>
      <c r="F20" t="s">
        <v>81</v>
      </c>
    </row>
    <row r="21" spans="1:6">
      <c r="A21" s="11" t="s">
        <v>82</v>
      </c>
      <c r="B21" s="11"/>
      <c r="D21" t="str">
        <f t="shared" si="0"/>
        <v>-middleware</v>
      </c>
    </row>
    <row r="22" spans="1:6">
      <c r="A22" s="11" t="s">
        <v>83</v>
      </c>
      <c r="B22" s="11"/>
      <c r="D22" t="str">
        <f t="shared" si="0"/>
        <v>-middleware</v>
      </c>
    </row>
    <row r="23" spans="1:6">
      <c r="A23" s="11" t="s">
        <v>84</v>
      </c>
      <c r="B23" s="11"/>
      <c r="D23" t="str">
        <f t="shared" si="0"/>
        <v>-middleware</v>
      </c>
    </row>
    <row r="24" spans="1:6">
      <c r="A24" s="11" t="s">
        <v>85</v>
      </c>
      <c r="B24" s="11"/>
      <c r="D24" t="str">
        <f t="shared" si="0"/>
        <v>-middleware</v>
      </c>
    </row>
    <row r="25" spans="1:6">
      <c r="A25" s="11" t="s">
        <v>86</v>
      </c>
      <c r="B25" s="11"/>
      <c r="D25" t="str">
        <f t="shared" si="0"/>
        <v>-middleware</v>
      </c>
    </row>
    <row r="26" spans="1:6" ht="16">
      <c r="A26" s="11" t="s">
        <v>87</v>
      </c>
      <c r="B26" s="107" t="s">
        <v>88</v>
      </c>
      <c r="D26" t="str">
        <f t="shared" si="0"/>
        <v>tia-middleware</v>
      </c>
    </row>
    <row r="27" spans="1:6">
      <c r="A27" s="11" t="s">
        <v>89</v>
      </c>
      <c r="B27" s="11"/>
      <c r="D27" t="str">
        <f t="shared" si="0"/>
        <v>-middleware</v>
      </c>
    </row>
    <row r="28" spans="1:6">
      <c r="A28" s="11" t="s">
        <v>90</v>
      </c>
      <c r="B28" s="11"/>
      <c r="D28" t="str">
        <f t="shared" si="0"/>
        <v>-middleware</v>
      </c>
    </row>
    <row r="29" spans="1:6">
      <c r="A29" s="11" t="s">
        <v>91</v>
      </c>
      <c r="B29" s="11"/>
      <c r="D29" t="str">
        <f t="shared" si="0"/>
        <v>-middleware</v>
      </c>
    </row>
    <row r="30" spans="1:6">
      <c r="A30" s="11" t="s">
        <v>92</v>
      </c>
      <c r="B30" s="11"/>
      <c r="D30" t="str">
        <f t="shared" si="0"/>
        <v>-middleware</v>
      </c>
    </row>
    <row r="31" spans="1:6">
      <c r="A31" s="11" t="s">
        <v>93</v>
      </c>
      <c r="B31" s="11"/>
      <c r="D31" t="str">
        <f t="shared" si="0"/>
        <v>-middleware</v>
      </c>
    </row>
    <row r="32" spans="1:6">
      <c r="A32" s="11" t="s">
        <v>94</v>
      </c>
      <c r="B32" s="11"/>
      <c r="D32" t="str">
        <f t="shared" si="0"/>
        <v>-middleware</v>
      </c>
    </row>
    <row r="33" spans="1:4">
      <c r="A33" s="11" t="s">
        <v>95</v>
      </c>
      <c r="B33" s="11"/>
      <c r="D33" t="str">
        <f t="shared" si="0"/>
        <v>-middleware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workbookViewId="0"/>
  </sheetViews>
  <sheetFormatPr baseColWidth="10" defaultColWidth="10.83203125" defaultRowHeight="15"/>
  <cols>
    <col min="1" max="1" width="29.1640625" customWidth="1"/>
    <col min="2" max="2" width="14.83203125" customWidth="1"/>
    <col min="3" max="3" width="15.83203125" customWidth="1"/>
  </cols>
  <sheetData>
    <row r="1" spans="1:4">
      <c r="A1" s="3" t="s">
        <v>96</v>
      </c>
      <c r="B1" s="3" t="s">
        <v>97</v>
      </c>
      <c r="C1" s="3" t="s">
        <v>98</v>
      </c>
      <c r="D1" s="3" t="s">
        <v>99</v>
      </c>
    </row>
    <row r="2" spans="1:4">
      <c r="A2" s="4" t="s">
        <v>100</v>
      </c>
      <c r="B2" s="4">
        <v>7195</v>
      </c>
      <c r="C2" s="4">
        <v>9443</v>
      </c>
      <c r="D2" s="4" t="s">
        <v>101</v>
      </c>
    </row>
    <row r="3" spans="1:4">
      <c r="A3" s="4" t="s">
        <v>102</v>
      </c>
      <c r="B3" s="4">
        <v>7180</v>
      </c>
      <c r="C3" s="4">
        <v>7181</v>
      </c>
      <c r="D3" s="4" t="s">
        <v>101</v>
      </c>
    </row>
    <row r="4" spans="1:4">
      <c r="A4" s="4" t="s">
        <v>103</v>
      </c>
      <c r="B4" s="4">
        <v>7182</v>
      </c>
      <c r="C4" s="4">
        <v>7183</v>
      </c>
      <c r="D4" s="4" t="s">
        <v>101</v>
      </c>
    </row>
    <row r="5" spans="1:4">
      <c r="A5" s="4" t="s">
        <v>104</v>
      </c>
      <c r="B5" s="4">
        <v>7190</v>
      </c>
      <c r="C5" s="4">
        <v>7191</v>
      </c>
      <c r="D5" s="4" t="s">
        <v>101</v>
      </c>
    </row>
    <row r="6" spans="1:4">
      <c r="A6" s="4" t="s">
        <v>105</v>
      </c>
      <c r="B6" s="4">
        <v>7184</v>
      </c>
      <c r="C6" s="4">
        <v>7185</v>
      </c>
      <c r="D6" s="4" t="s">
        <v>101</v>
      </c>
    </row>
    <row r="7" spans="1:4">
      <c r="A7" s="4" t="s">
        <v>106</v>
      </c>
      <c r="B7" s="4">
        <v>9180</v>
      </c>
      <c r="C7" s="4">
        <v>9181</v>
      </c>
      <c r="D7" s="4" t="s">
        <v>101</v>
      </c>
    </row>
    <row r="8" spans="1:4">
      <c r="A8" s="4" t="s">
        <v>107</v>
      </c>
      <c r="B8" s="4">
        <v>8935</v>
      </c>
      <c r="C8" s="4"/>
      <c r="D8" s="4" t="s">
        <v>101</v>
      </c>
    </row>
    <row r="9" spans="1:4">
      <c r="A9" s="4" t="s">
        <v>108</v>
      </c>
      <c r="B9" s="4">
        <v>8937</v>
      </c>
      <c r="C9" s="4"/>
      <c r="D9" s="4" t="s">
        <v>109</v>
      </c>
    </row>
    <row r="10" spans="1:4">
      <c r="A10" s="4" t="s">
        <v>108</v>
      </c>
      <c r="B10" s="4">
        <v>18937</v>
      </c>
      <c r="C10" s="4"/>
      <c r="D10" s="4" t="s">
        <v>109</v>
      </c>
    </row>
    <row r="11" spans="1:4">
      <c r="A11" s="4" t="s">
        <v>110</v>
      </c>
      <c r="B11" s="4">
        <v>8936</v>
      </c>
      <c r="C11" s="4"/>
      <c r="D11" s="4" t="s">
        <v>109</v>
      </c>
    </row>
    <row r="12" spans="1:4">
      <c r="A12" s="4" t="s">
        <v>111</v>
      </c>
      <c r="B12" s="4">
        <v>8933</v>
      </c>
      <c r="C12" s="4"/>
      <c r="D12" s="4" t="s">
        <v>109</v>
      </c>
    </row>
    <row r="13" spans="1:4">
      <c r="A13" s="4" t="s">
        <v>112</v>
      </c>
      <c r="B13" s="4"/>
      <c r="C13" s="4">
        <v>8932</v>
      </c>
      <c r="D13" s="4" t="s">
        <v>109</v>
      </c>
    </row>
    <row r="14" spans="1:4">
      <c r="A14" s="4" t="s">
        <v>113</v>
      </c>
      <c r="B14" s="4">
        <v>8934</v>
      </c>
      <c r="C14" s="4"/>
      <c r="D14" s="4" t="s">
        <v>101</v>
      </c>
    </row>
    <row r="15" spans="1:4">
      <c r="A15" s="4" t="s">
        <v>113</v>
      </c>
      <c r="B15" s="4">
        <v>8939</v>
      </c>
      <c r="C15" s="4"/>
      <c r="D15" s="4" t="s">
        <v>101</v>
      </c>
    </row>
    <row r="16" spans="1:4">
      <c r="A16" s="4" t="s">
        <v>114</v>
      </c>
      <c r="B16" s="4">
        <v>8931</v>
      </c>
      <c r="C16" s="4">
        <v>8531</v>
      </c>
      <c r="D16" s="4" t="s">
        <v>101</v>
      </c>
    </row>
    <row r="17" spans="1:4">
      <c r="A17" s="5" t="s">
        <v>115</v>
      </c>
      <c r="B17" s="4"/>
      <c r="C17" s="4">
        <v>7635</v>
      </c>
      <c r="D17" s="4" t="s">
        <v>101</v>
      </c>
    </row>
    <row r="18" spans="1:4">
      <c r="A18" s="5" t="s">
        <v>116</v>
      </c>
      <c r="B18" s="4"/>
      <c r="C18" s="4">
        <v>7634</v>
      </c>
      <c r="D18" s="4" t="s">
        <v>101</v>
      </c>
    </row>
    <row r="19" spans="1:4">
      <c r="A19" s="5" t="s">
        <v>117</v>
      </c>
      <c r="B19" s="4"/>
      <c r="C19" s="4">
        <v>7633</v>
      </c>
      <c r="D19" s="4" t="s">
        <v>109</v>
      </c>
    </row>
    <row r="20" spans="1:4">
      <c r="A20" s="5" t="s">
        <v>118</v>
      </c>
      <c r="B20" s="4">
        <v>8901</v>
      </c>
      <c r="C20" s="1">
        <v>8501</v>
      </c>
      <c r="D20" s="4" t="s">
        <v>101</v>
      </c>
    </row>
    <row r="21" spans="1:4">
      <c r="A21" s="4" t="s">
        <v>119</v>
      </c>
      <c r="B21" s="4"/>
      <c r="C21" s="4">
        <v>8902</v>
      </c>
      <c r="D21" s="4" t="s">
        <v>109</v>
      </c>
    </row>
    <row r="22" spans="1:4">
      <c r="A22" s="5" t="s">
        <v>120</v>
      </c>
      <c r="B22" s="4"/>
      <c r="C22" s="4">
        <v>8904</v>
      </c>
      <c r="D22" s="4" t="s">
        <v>109</v>
      </c>
    </row>
    <row r="23" spans="1:4">
      <c r="A23" s="4" t="s">
        <v>121</v>
      </c>
      <c r="B23" s="4"/>
      <c r="C23" s="4">
        <v>8982</v>
      </c>
      <c r="D23" s="4" t="s">
        <v>109</v>
      </c>
    </row>
    <row r="24" spans="1:4">
      <c r="A24" s="4" t="s">
        <v>122</v>
      </c>
      <c r="B24" s="4">
        <v>8981</v>
      </c>
      <c r="C24" s="4"/>
      <c r="D24" s="4" t="s">
        <v>101</v>
      </c>
    </row>
    <row r="25" spans="1:4">
      <c r="A25" s="4" t="s">
        <v>123</v>
      </c>
      <c r="B25" s="4"/>
      <c r="C25" s="4">
        <v>8972</v>
      </c>
      <c r="D25" s="4" t="s">
        <v>109</v>
      </c>
    </row>
    <row r="26" spans="1:4">
      <c r="A26" s="4" t="s">
        <v>124</v>
      </c>
      <c r="B26" s="4">
        <v>8971</v>
      </c>
      <c r="C26" s="4"/>
      <c r="D26" s="4" t="s">
        <v>101</v>
      </c>
    </row>
    <row r="27" spans="1:4">
      <c r="A27" s="4" t="s">
        <v>125</v>
      </c>
      <c r="B27" s="4"/>
      <c r="C27" s="4">
        <v>8922</v>
      </c>
      <c r="D27" s="4" t="s">
        <v>109</v>
      </c>
    </row>
    <row r="28" spans="1:4">
      <c r="A28" s="4" t="s">
        <v>126</v>
      </c>
      <c r="B28" s="4">
        <v>8921</v>
      </c>
      <c r="C28" s="4"/>
      <c r="D28" s="4" t="s">
        <v>101</v>
      </c>
    </row>
    <row r="29" spans="1:4">
      <c r="A29" s="4" t="s">
        <v>127</v>
      </c>
      <c r="B29" s="4"/>
      <c r="C29" s="4">
        <v>8962</v>
      </c>
      <c r="D29" s="4" t="s">
        <v>109</v>
      </c>
    </row>
    <row r="30" spans="1:4">
      <c r="A30" s="4" t="s">
        <v>128</v>
      </c>
      <c r="B30" s="4"/>
      <c r="C30" s="4">
        <v>8561</v>
      </c>
      <c r="D30" s="4" t="s">
        <v>101</v>
      </c>
    </row>
    <row r="31" spans="1:4">
      <c r="A31" s="4" t="s">
        <v>128</v>
      </c>
      <c r="B31" s="4">
        <v>8961</v>
      </c>
      <c r="C31" s="4"/>
      <c r="D31" s="4" t="s">
        <v>101</v>
      </c>
    </row>
    <row r="32" spans="1:4">
      <c r="A32" s="4" t="s">
        <v>129</v>
      </c>
      <c r="B32" s="4"/>
      <c r="C32" s="4">
        <v>8952</v>
      </c>
      <c r="D32" s="4" t="s">
        <v>109</v>
      </c>
    </row>
    <row r="33" spans="1:4">
      <c r="A33" s="4" t="s">
        <v>130</v>
      </c>
      <c r="B33" s="4"/>
      <c r="C33" s="4">
        <v>8551</v>
      </c>
      <c r="D33" s="4" t="s">
        <v>101</v>
      </c>
    </row>
    <row r="34" spans="1:4">
      <c r="A34" s="4" t="s">
        <v>130</v>
      </c>
      <c r="B34" s="4">
        <v>8951</v>
      </c>
      <c r="C34" s="4"/>
      <c r="D34" s="4" t="s">
        <v>101</v>
      </c>
    </row>
    <row r="35" spans="1:4">
      <c r="A35" s="4" t="s">
        <v>131</v>
      </c>
      <c r="B35" s="4">
        <v>8953</v>
      </c>
      <c r="C35" s="4"/>
      <c r="D35" s="4" t="s">
        <v>101</v>
      </c>
    </row>
    <row r="36" spans="1:4">
      <c r="A36" s="4" t="s">
        <v>132</v>
      </c>
      <c r="B36" s="4"/>
      <c r="C36" s="4">
        <v>8942</v>
      </c>
      <c r="D36" s="4" t="s">
        <v>109</v>
      </c>
    </row>
    <row r="37" spans="1:4">
      <c r="A37" s="4" t="s">
        <v>133</v>
      </c>
      <c r="B37" s="4"/>
      <c r="C37" s="4">
        <v>8541</v>
      </c>
      <c r="D37" s="4" t="s">
        <v>101</v>
      </c>
    </row>
    <row r="38" spans="1:4">
      <c r="A38" s="4" t="s">
        <v>133</v>
      </c>
      <c r="B38" s="4">
        <v>8941</v>
      </c>
      <c r="C38" s="4"/>
      <c r="D38" s="4" t="s">
        <v>101</v>
      </c>
    </row>
    <row r="39" spans="1:4">
      <c r="A39" s="4" t="s">
        <v>134</v>
      </c>
      <c r="B39" s="4"/>
      <c r="C39" s="4">
        <v>8912</v>
      </c>
      <c r="D39" s="4" t="s">
        <v>109</v>
      </c>
    </row>
    <row r="40" spans="1:4">
      <c r="A40" s="4" t="s">
        <v>135</v>
      </c>
      <c r="B40" s="4">
        <v>8911</v>
      </c>
      <c r="C40" s="4">
        <v>8511</v>
      </c>
      <c r="D40" s="4"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A538B-345B-4B2C-A2BB-424D05A96F15}">
  <dimension ref="B2:B12"/>
  <sheetViews>
    <sheetView workbookViewId="0"/>
  </sheetViews>
  <sheetFormatPr baseColWidth="10" defaultColWidth="8.83203125" defaultRowHeight="15"/>
  <sheetData>
    <row r="2" spans="2:2">
      <c r="B2" t="s">
        <v>136</v>
      </c>
    </row>
    <row r="3" spans="2:2">
      <c r="B3" s="106" t="s">
        <v>137</v>
      </c>
    </row>
    <row r="4" spans="2:2">
      <c r="B4" s="106" t="s">
        <v>138</v>
      </c>
    </row>
    <row r="5" spans="2:2">
      <c r="B5" s="106" t="s">
        <v>139</v>
      </c>
    </row>
    <row r="6" spans="2:2">
      <c r="B6" s="106" t="s">
        <v>140</v>
      </c>
    </row>
    <row r="7" spans="2:2">
      <c r="B7" s="106" t="s">
        <v>141</v>
      </c>
    </row>
    <row r="8" spans="2:2">
      <c r="B8" s="106" t="s">
        <v>142</v>
      </c>
    </row>
    <row r="9" spans="2:2">
      <c r="B9" s="106" t="s">
        <v>143</v>
      </c>
    </row>
    <row r="10" spans="2:2">
      <c r="B10" s="106" t="s">
        <v>144</v>
      </c>
    </row>
    <row r="11" spans="2:2">
      <c r="B11" s="106" t="s">
        <v>145</v>
      </c>
    </row>
    <row r="12" spans="2:2">
      <c r="B12" s="106"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workbookViewId="0">
      <selection activeCell="B7" sqref="B7"/>
    </sheetView>
  </sheetViews>
  <sheetFormatPr baseColWidth="10" defaultColWidth="11.5" defaultRowHeight="15"/>
  <cols>
    <col min="1" max="1" width="17.5" customWidth="1"/>
    <col min="2" max="2" width="16.5" customWidth="1"/>
    <col min="3" max="3" width="22" customWidth="1"/>
    <col min="4" max="4" width="21.6640625" customWidth="1"/>
    <col min="5" max="5" width="32.1640625" customWidth="1"/>
    <col min="6" max="6" width="14.6640625" customWidth="1"/>
  </cols>
  <sheetData>
    <row r="1" spans="1:7">
      <c r="A1" s="2" t="s">
        <v>147</v>
      </c>
      <c r="B1" s="2" t="s">
        <v>148</v>
      </c>
      <c r="C1" s="2" t="s">
        <v>149</v>
      </c>
      <c r="D1" s="2" t="s">
        <v>150</v>
      </c>
      <c r="E1" s="2" t="s">
        <v>151</v>
      </c>
      <c r="F1" s="2" t="s">
        <v>152</v>
      </c>
    </row>
    <row r="2" spans="1:7" ht="23.25" customHeight="1">
      <c r="A2" s="1" t="s">
        <v>153</v>
      </c>
      <c r="B2" s="1" t="s">
        <v>154</v>
      </c>
      <c r="C2" s="1" t="s">
        <v>155</v>
      </c>
      <c r="D2" s="1" t="s">
        <v>156</v>
      </c>
      <c r="E2" s="9" t="s">
        <v>157</v>
      </c>
      <c r="F2" s="9" t="s">
        <v>158</v>
      </c>
      <c r="G2" s="8"/>
    </row>
    <row r="3" spans="1:7" ht="27.75" customHeight="1">
      <c r="A3" s="1" t="s">
        <v>144</v>
      </c>
      <c r="B3" s="1" t="s">
        <v>159</v>
      </c>
      <c r="C3" s="1" t="s">
        <v>160</v>
      </c>
      <c r="D3" s="1" t="s">
        <v>161</v>
      </c>
      <c r="E3" s="9" t="s">
        <v>162</v>
      </c>
      <c r="F3" s="9" t="s">
        <v>163</v>
      </c>
    </row>
    <row r="4" spans="1:7" ht="50.25" customHeight="1">
      <c r="A4" s="1" t="s">
        <v>164</v>
      </c>
      <c r="B4" s="1" t="s">
        <v>165</v>
      </c>
      <c r="C4" s="1" t="s">
        <v>166</v>
      </c>
      <c r="D4" s="1" t="s">
        <v>167</v>
      </c>
      <c r="E4" s="9" t="s">
        <v>168</v>
      </c>
      <c r="F4" s="9" t="s">
        <v>169</v>
      </c>
    </row>
    <row r="5" spans="1:7" ht="24">
      <c r="A5" s="1" t="s">
        <v>170</v>
      </c>
      <c r="B5" s="1" t="s">
        <v>171</v>
      </c>
      <c r="C5" s="1" t="s">
        <v>172</v>
      </c>
      <c r="D5" s="1" t="s">
        <v>173</v>
      </c>
      <c r="E5" s="9" t="s">
        <v>174</v>
      </c>
      <c r="F5" s="9" t="s">
        <v>169</v>
      </c>
    </row>
    <row r="6" spans="1:7" ht="33.75" customHeight="1">
      <c r="A6" s="1" t="s">
        <v>175</v>
      </c>
      <c r="B6" s="1" t="s">
        <v>176</v>
      </c>
      <c r="C6" s="1" t="s">
        <v>177</v>
      </c>
      <c r="D6" s="1" t="s">
        <v>178</v>
      </c>
      <c r="E6" s="9" t="s">
        <v>179</v>
      </c>
      <c r="F6" s="9" t="s">
        <v>163</v>
      </c>
    </row>
    <row r="7" spans="1:7" ht="34" customHeight="1">
      <c r="A7" s="1" t="s">
        <v>180</v>
      </c>
      <c r="B7" s="1" t="s">
        <v>181</v>
      </c>
      <c r="C7" s="1" t="s">
        <v>182</v>
      </c>
      <c r="D7" s="1" t="s">
        <v>183</v>
      </c>
      <c r="E7" s="9" t="s">
        <v>184</v>
      </c>
      <c r="F7" s="9" t="s">
        <v>185</v>
      </c>
    </row>
    <row r="8" spans="1:7">
      <c r="A8" s="1" t="s">
        <v>145</v>
      </c>
      <c r="B8" s="1" t="s">
        <v>186</v>
      </c>
      <c r="C8" s="1" t="s">
        <v>187</v>
      </c>
      <c r="D8" s="1" t="s">
        <v>188</v>
      </c>
      <c r="E8" s="9" t="s">
        <v>189</v>
      </c>
      <c r="F8" s="9" t="s">
        <v>190</v>
      </c>
    </row>
    <row r="9" spans="1:7" ht="24.75" customHeight="1">
      <c r="A9" s="1" t="s">
        <v>191</v>
      </c>
      <c r="B9" s="1" t="s">
        <v>171</v>
      </c>
      <c r="C9" s="1" t="s">
        <v>192</v>
      </c>
      <c r="D9" s="1" t="s">
        <v>193</v>
      </c>
      <c r="E9" s="9" t="s">
        <v>194</v>
      </c>
      <c r="F9" s="9" t="s">
        <v>195</v>
      </c>
    </row>
    <row r="10" spans="1:7">
      <c r="A10" s="1" t="s">
        <v>196</v>
      </c>
      <c r="B10" s="1" t="s">
        <v>197</v>
      </c>
      <c r="C10" s="1" t="s">
        <v>198</v>
      </c>
      <c r="D10" s="1" t="s">
        <v>199</v>
      </c>
      <c r="E10" s="9" t="s">
        <v>200</v>
      </c>
      <c r="F10" s="9" t="s">
        <v>195</v>
      </c>
    </row>
  </sheetData>
  <pageMargins left="0.7" right="0.7" top="0.75" bottom="0.75" header="0.3" footer="0.3"/>
  <pageSetup paperSize="9" orientation="portrait" horizontalDpi="90" verticalDpi="9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15"/>
  <sheetViews>
    <sheetView tabSelected="1" topLeftCell="A111" zoomScale="125" zoomScaleNormal="90" workbookViewId="0">
      <pane xSplit="1" topLeftCell="AQ1" activePane="topRight" state="frozen"/>
      <selection pane="topRight" activeCell="AT36" sqref="AT36"/>
    </sheetView>
  </sheetViews>
  <sheetFormatPr baseColWidth="10" defaultColWidth="9.1640625" defaultRowHeight="15" customHeight="1"/>
  <cols>
    <col min="1" max="1" width="39.1640625" customWidth="1"/>
    <col min="2" max="2" width="55.33203125" style="44" customWidth="1"/>
    <col min="3" max="3" width="55.33203125" style="138" customWidth="1"/>
    <col min="4" max="4" width="55.33203125" style="44" customWidth="1"/>
    <col min="5" max="5" width="55.33203125" style="31" customWidth="1"/>
    <col min="6" max="8" width="55.33203125" customWidth="1"/>
    <col min="9" max="9" width="55.33203125" style="132" customWidth="1"/>
    <col min="10" max="10" width="55.33203125" style="19" customWidth="1"/>
    <col min="11" max="11" width="55.33203125" style="105" customWidth="1"/>
    <col min="12" max="12" width="55.33203125" style="59" customWidth="1"/>
    <col min="13" max="13" width="55.33203125" style="85" customWidth="1"/>
    <col min="14" max="14" width="55.33203125" style="7" customWidth="1"/>
    <col min="15" max="15" width="55.33203125" style="74" customWidth="1"/>
    <col min="16" max="16" width="55.33203125" style="85" customWidth="1"/>
    <col min="17" max="17" width="55.33203125" style="7" customWidth="1"/>
    <col min="18" max="19" width="55.33203125" style="85" customWidth="1"/>
    <col min="20" max="20" width="55.33203125" style="7" customWidth="1"/>
    <col min="21" max="21" width="55.33203125" style="148" customWidth="1"/>
    <col min="22" max="22" width="55.33203125" style="85" customWidth="1"/>
    <col min="23" max="23" width="55.33203125" style="7" customWidth="1"/>
    <col min="24" max="25" width="55.33203125" style="84" customWidth="1"/>
    <col min="26" max="27" width="55.33203125" style="85" customWidth="1"/>
    <col min="28" max="28" width="55.33203125" style="7" customWidth="1"/>
    <col min="29" max="29" width="55.33203125" style="108" customWidth="1"/>
    <col min="30" max="30" width="55.33203125" style="7" customWidth="1"/>
    <col min="31" max="31" width="55.33203125" style="108" customWidth="1"/>
    <col min="32" max="32" width="55.33203125" style="15" customWidth="1"/>
    <col min="33" max="33" width="55.33203125" style="84" customWidth="1"/>
    <col min="34" max="34" width="55.33203125" style="10" customWidth="1"/>
    <col min="35" max="35" width="55.33203125" style="131" customWidth="1"/>
    <col min="36" max="36" width="55.33203125" style="10" customWidth="1"/>
    <col min="37" max="37" width="55.33203125" style="7" customWidth="1"/>
    <col min="38" max="38" width="55.33203125" style="74" customWidth="1"/>
    <col min="39" max="39" width="55.33203125" style="7" customWidth="1"/>
    <col min="40" max="41" width="55.33203125" style="69" customWidth="1"/>
    <col min="42" max="42" width="55.33203125" style="31" customWidth="1"/>
    <col min="43" max="43" width="55.33203125" customWidth="1"/>
    <col min="44" max="44" width="55.33203125" style="34" customWidth="1"/>
    <col min="45" max="46" width="55.33203125" style="105" customWidth="1"/>
    <col min="47" max="47" width="36.5" style="133" customWidth="1"/>
    <col min="48" max="48" width="13.5" style="31" bestFit="1" customWidth="1"/>
    <col min="49" max="49" width="52.5" bestFit="1" customWidth="1"/>
    <col min="50" max="50" width="21.1640625" bestFit="1" customWidth="1"/>
    <col min="51" max="51" width="20.6640625" bestFit="1" customWidth="1"/>
    <col min="52" max="52" width="5.33203125" bestFit="1" customWidth="1"/>
    <col min="53" max="53" width="15.6640625" bestFit="1" customWidth="1"/>
    <col min="54" max="54" width="5.33203125" bestFit="1" customWidth="1"/>
    <col min="55" max="55" width="15.6640625" bestFit="1" customWidth="1"/>
  </cols>
  <sheetData>
    <row r="1" spans="1:50" s="6" customFormat="1">
      <c r="A1" s="25" t="s">
        <v>201</v>
      </c>
      <c r="B1" s="25" t="s">
        <v>202</v>
      </c>
      <c r="C1" s="26" t="s">
        <v>203</v>
      </c>
      <c r="D1" s="25" t="s">
        <v>47</v>
      </c>
      <c r="E1" s="25" t="s">
        <v>204</v>
      </c>
      <c r="F1" s="25" t="s">
        <v>205</v>
      </c>
      <c r="G1" s="25" t="s">
        <v>206</v>
      </c>
      <c r="H1" s="26" t="s">
        <v>207</v>
      </c>
      <c r="I1" s="26" t="s">
        <v>208</v>
      </c>
      <c r="J1" s="29" t="s">
        <v>209</v>
      </c>
      <c r="K1" s="29" t="s">
        <v>210</v>
      </c>
      <c r="L1" s="29" t="s">
        <v>211</v>
      </c>
      <c r="M1" s="27" t="s">
        <v>212</v>
      </c>
      <c r="N1" s="28" t="s">
        <v>213</v>
      </c>
      <c r="O1" s="29" t="s">
        <v>214</v>
      </c>
      <c r="P1" s="29" t="s">
        <v>215</v>
      </c>
      <c r="Q1" s="28" t="s">
        <v>213</v>
      </c>
      <c r="R1" s="29" t="s">
        <v>164</v>
      </c>
      <c r="S1" s="29" t="s">
        <v>216</v>
      </c>
      <c r="T1" s="28" t="s">
        <v>213</v>
      </c>
      <c r="U1" s="29" t="s">
        <v>217</v>
      </c>
      <c r="V1" s="29" t="s">
        <v>218</v>
      </c>
      <c r="W1" s="28" t="s">
        <v>213</v>
      </c>
      <c r="X1" s="29" t="s">
        <v>219</v>
      </c>
      <c r="Y1" s="29" t="s">
        <v>220</v>
      </c>
      <c r="Z1" s="29" t="s">
        <v>221</v>
      </c>
      <c r="AA1" s="29" t="s">
        <v>222</v>
      </c>
      <c r="AB1" s="28" t="s">
        <v>213</v>
      </c>
      <c r="AC1" s="29" t="s">
        <v>180</v>
      </c>
      <c r="AD1" s="28" t="s">
        <v>213</v>
      </c>
      <c r="AE1" s="27" t="s">
        <v>223</v>
      </c>
      <c r="AF1" s="27" t="s">
        <v>224</v>
      </c>
      <c r="AG1" s="27" t="s">
        <v>225</v>
      </c>
      <c r="AH1" s="27" t="s">
        <v>226</v>
      </c>
      <c r="AI1" s="28" t="s">
        <v>213</v>
      </c>
      <c r="AJ1" s="29" t="s">
        <v>191</v>
      </c>
      <c r="AK1" s="28" t="s">
        <v>213</v>
      </c>
      <c r="AL1" s="168" t="s">
        <v>196</v>
      </c>
      <c r="AM1" s="28" t="s">
        <v>213</v>
      </c>
      <c r="AN1" s="65" t="s">
        <v>227</v>
      </c>
      <c r="AO1" s="68" t="s">
        <v>228</v>
      </c>
      <c r="AP1" s="111" t="s">
        <v>229</v>
      </c>
      <c r="AQ1" s="30" t="s">
        <v>230</v>
      </c>
      <c r="AR1" s="41" t="s">
        <v>231</v>
      </c>
      <c r="AS1" s="102" t="s">
        <v>232</v>
      </c>
      <c r="AT1" s="29" t="s">
        <v>233</v>
      </c>
      <c r="AU1" s="29" t="s">
        <v>234</v>
      </c>
      <c r="AV1" s="100" t="s">
        <v>235</v>
      </c>
      <c r="AW1" s="6" t="s">
        <v>236</v>
      </c>
    </row>
    <row r="2" spans="1:50" s="44" customFormat="1" ht="125.25" customHeight="1">
      <c r="A2" s="16" t="s">
        <v>244</v>
      </c>
      <c r="B2" s="16" t="str">
        <f>CONCATENATE(LOWER(E2),"-msa-sp-",LOWER(A2))</f>
        <v>tnd-msa-sp-orqclientes0002</v>
      </c>
      <c r="C2" s="166" t="s">
        <v>245</v>
      </c>
      <c r="D2" s="16" t="s">
        <v>61</v>
      </c>
      <c r="E2" s="77" t="str">
        <f>VLOOKUP(D2,Tribus!$A$1:$B$33,2,FALSE)</f>
        <v>tnd</v>
      </c>
      <c r="F2" s="42" t="s">
        <v>237</v>
      </c>
      <c r="G2" s="42" t="s">
        <v>246</v>
      </c>
      <c r="H2" s="42" t="s">
        <v>239</v>
      </c>
      <c r="I2" s="36" t="s">
        <v>240</v>
      </c>
      <c r="J2" s="20" t="s">
        <v>247</v>
      </c>
      <c r="K2" s="20" t="s">
        <v>248</v>
      </c>
      <c r="L2" s="20" t="s">
        <v>241</v>
      </c>
      <c r="M2" s="86">
        <v>5</v>
      </c>
      <c r="N2" s="47" t="s">
        <v>150</v>
      </c>
      <c r="O2" s="86" t="s">
        <v>249</v>
      </c>
      <c r="P2" s="86" t="s">
        <v>250</v>
      </c>
      <c r="Q2" s="47" t="s">
        <v>149</v>
      </c>
      <c r="R2" s="86" t="s">
        <v>242</v>
      </c>
      <c r="S2" s="86">
        <v>0</v>
      </c>
      <c r="T2" s="47" t="s">
        <v>148</v>
      </c>
      <c r="U2" s="32" t="s">
        <v>251</v>
      </c>
      <c r="V2" s="86" t="s">
        <v>252</v>
      </c>
      <c r="W2" s="47" t="s">
        <v>149</v>
      </c>
      <c r="X2" s="22" t="s">
        <v>253</v>
      </c>
      <c r="Y2" s="20" t="s">
        <v>254</v>
      </c>
      <c r="Z2" s="20"/>
      <c r="AA2" s="20"/>
      <c r="AB2" s="47" t="s">
        <v>149</v>
      </c>
      <c r="AC2" s="86" t="s">
        <v>255</v>
      </c>
      <c r="AD2" s="47" t="s">
        <v>148</v>
      </c>
      <c r="AE2" s="20" t="s">
        <v>256</v>
      </c>
      <c r="AF2" s="20" t="s">
        <v>257</v>
      </c>
      <c r="AG2" s="20">
        <v>0</v>
      </c>
      <c r="AH2" s="86">
        <v>5</v>
      </c>
      <c r="AI2" s="47" t="s">
        <v>150</v>
      </c>
      <c r="AJ2" s="86" t="s">
        <v>171</v>
      </c>
      <c r="AK2" s="47" t="s">
        <v>148</v>
      </c>
      <c r="AL2" s="78" t="s">
        <v>258</v>
      </c>
      <c r="AM2" s="47" t="s">
        <v>148</v>
      </c>
      <c r="AN2" s="141">
        <f>IFERROR(SUM(CHOOSE(MATCH(N2,{"Baja";"Media";"Alta"},0),1,2,3),
CHOOSE(MATCH(Q2,{"Baja";"Media";"Alta"},0),1,2,3),
CHOOSE(MATCH(T2,{"Baja";"Media";"Alta"},0),1,2,3),
CHOOSE(MATCH(W2,{"Baja";"Media";"Alta"},0),1,2,3),
CHOOSE(MATCH(AB2,{"Baja";"Media";"Alta"},0),1,2,3),
CHOOSE(MATCH(AD2,{"Baja";"Media";"Alta"},0),1,2,3),
CHOOSE(MATCH(AI2,{"Baja";"Media";"Alta"},0),1,2,3),
CHOOSE(MATCH(AK2,{"Baja";"Media";"Alta"},0),1,2,3),
CHOOSE(MATCH(AM2,{"Baja";"Media";"Alta"},0),1,2,3)),0)</f>
        <v>16</v>
      </c>
      <c r="AO2" s="67" t="str">
        <f t="shared" ref="AO2:AO35" si="0">IF(AN2=0,"Pendiente",IF(AN2&lt;=15,"Bajo",IF(AN2&lt;=21,"Medio","Alto")))</f>
        <v>Medio</v>
      </c>
      <c r="AP2" s="76"/>
      <c r="AQ2" s="76"/>
      <c r="AR2" s="77" t="e">
        <f>VLOOKUP(A2,#REF!,2,FALSE)</f>
        <v>#REF!</v>
      </c>
      <c r="AS2" s="139" t="s">
        <v>259</v>
      </c>
      <c r="AT2" s="140" t="s">
        <v>260</v>
      </c>
      <c r="AU2" s="109" t="s">
        <v>261</v>
      </c>
      <c r="AV2" s="34">
        <v>1</v>
      </c>
      <c r="AW2" s="126" t="s">
        <v>262</v>
      </c>
      <c r="AX2" s="126"/>
    </row>
    <row r="3" spans="1:50" s="44" customFormat="1" ht="252" customHeight="1">
      <c r="A3" s="16" t="s">
        <v>263</v>
      </c>
      <c r="B3" s="16" t="str">
        <f t="shared" ref="B3:B35" si="1">CONCATENATE(LOWER(E3),"-msa-sp-",LOWER(A3))</f>
        <v>tpr-msa-sp-orqclientes0003</v>
      </c>
      <c r="C3" s="51" t="s">
        <v>264</v>
      </c>
      <c r="D3" s="44" t="s">
        <v>59</v>
      </c>
      <c r="E3" s="34" t="str">
        <f>VLOOKUP(D3,Tribus!$A$1:$B$33,2,FALSE)</f>
        <v>tpr</v>
      </c>
      <c r="F3" s="42" t="s">
        <v>237</v>
      </c>
      <c r="G3" s="42" t="s">
        <v>246</v>
      </c>
      <c r="H3" s="42" t="s">
        <v>239</v>
      </c>
      <c r="I3" s="36" t="s">
        <v>240</v>
      </c>
      <c r="J3" s="86" t="s">
        <v>265</v>
      </c>
      <c r="K3" s="153" t="s">
        <v>266</v>
      </c>
      <c r="L3" s="20" t="s">
        <v>241</v>
      </c>
      <c r="M3" s="37">
        <v>9</v>
      </c>
      <c r="N3" s="47" t="s">
        <v>150</v>
      </c>
      <c r="O3" s="38" t="s">
        <v>101</v>
      </c>
      <c r="P3" s="37">
        <v>1</v>
      </c>
      <c r="Q3" s="47" t="s">
        <v>148</v>
      </c>
      <c r="R3" s="20" t="s">
        <v>267</v>
      </c>
      <c r="S3" s="37">
        <v>1</v>
      </c>
      <c r="T3" s="47" t="s">
        <v>149</v>
      </c>
      <c r="U3" s="38" t="s">
        <v>268</v>
      </c>
      <c r="V3" s="20" t="s">
        <v>269</v>
      </c>
      <c r="W3" s="47" t="s">
        <v>150</v>
      </c>
      <c r="X3" s="22" t="s">
        <v>270</v>
      </c>
      <c r="Y3" s="20" t="s">
        <v>271</v>
      </c>
      <c r="Z3" s="20"/>
      <c r="AA3" s="20"/>
      <c r="AB3" s="47" t="s">
        <v>150</v>
      </c>
      <c r="AC3" s="86" t="s">
        <v>255</v>
      </c>
      <c r="AD3" s="47" t="s">
        <v>148</v>
      </c>
      <c r="AE3" s="20" t="s">
        <v>272</v>
      </c>
      <c r="AF3" s="20" t="s">
        <v>273</v>
      </c>
      <c r="AG3" s="20" t="s">
        <v>274</v>
      </c>
      <c r="AH3" s="37">
        <v>23</v>
      </c>
      <c r="AI3" s="47" t="s">
        <v>150</v>
      </c>
      <c r="AJ3" s="38" t="s">
        <v>275</v>
      </c>
      <c r="AK3" s="47" t="s">
        <v>150</v>
      </c>
      <c r="AL3" s="40" t="s">
        <v>276</v>
      </c>
      <c r="AM3" s="47" t="s">
        <v>148</v>
      </c>
      <c r="AN3" s="150">
        <f>IFERROR(SUM(CHOOSE(MATCH(N3,{"Baja";"Media";"Alta"},0),1,2,3),
CHOOSE(MATCH(Q3,{"Baja";"Media";"Alta"},0),1,2,3),
CHOOSE(MATCH(T3,{"Baja";"Media";"Alta"},0),1,2,3),
CHOOSE(MATCH(W3,{"Baja";"Media";"Alta"},0),1,2,3),
CHOOSE(MATCH(AB3,{"Baja";"Media";"Alta"},0),1,2,3),
CHOOSE(MATCH(AD3,{"Baja";"Media";"Alta"},0),1,2,3),
CHOOSE(MATCH(AI3,{"Baja";"Media";"Alta"},0),1,2,3),
CHOOSE(MATCH(AK3,{"Baja";"Media";"Alta"},0),1,2,3),
CHOOSE(MATCH(AM3,{"Baja";"Media";"Alta"},0),1,2,3)),0)</f>
        <v>20</v>
      </c>
      <c r="AO3" s="67" t="str">
        <f t="shared" si="0"/>
        <v>Medio</v>
      </c>
      <c r="AP3" s="18"/>
      <c r="AQ3" s="76"/>
      <c r="AR3" s="77" t="e">
        <f>VLOOKUP(A3,#REF!,2,FALSE)</f>
        <v>#REF!</v>
      </c>
      <c r="AS3" s="103" t="s">
        <v>277</v>
      </c>
      <c r="AT3" s="110" t="s">
        <v>278</v>
      </c>
      <c r="AU3" s="134" t="s">
        <v>279</v>
      </c>
      <c r="AV3" s="34">
        <v>1</v>
      </c>
      <c r="AW3" s="95" t="s">
        <v>280</v>
      </c>
      <c r="AX3"/>
    </row>
    <row r="4" spans="1:50" ht="144">
      <c r="A4" s="11" t="s">
        <v>281</v>
      </c>
      <c r="B4" s="11" t="str">
        <f t="shared" si="1"/>
        <v>tnd-msa-sp-orqclientes0004</v>
      </c>
      <c r="C4" s="57" t="s">
        <v>282</v>
      </c>
      <c r="D4" s="92" t="s">
        <v>61</v>
      </c>
      <c r="E4" s="114" t="str">
        <f>VLOOKUP(D4,Tribus!$A$1:$B$33,2,FALSE)</f>
        <v>tnd</v>
      </c>
      <c r="F4" s="12" t="s">
        <v>237</v>
      </c>
      <c r="G4" s="12" t="s">
        <v>246</v>
      </c>
      <c r="H4" s="12" t="s">
        <v>239</v>
      </c>
      <c r="I4" s="151" t="s">
        <v>240</v>
      </c>
      <c r="J4" s="19" t="s">
        <v>283</v>
      </c>
      <c r="K4" s="19" t="s">
        <v>248</v>
      </c>
      <c r="L4" s="19" t="s">
        <v>241</v>
      </c>
      <c r="M4" s="15">
        <v>6</v>
      </c>
      <c r="N4" s="14" t="s">
        <v>150</v>
      </c>
      <c r="O4" s="19" t="s">
        <v>250</v>
      </c>
      <c r="P4" s="15">
        <v>2</v>
      </c>
      <c r="Q4" s="14" t="s">
        <v>149</v>
      </c>
      <c r="R4" s="15" t="s">
        <v>242</v>
      </c>
      <c r="S4" s="15">
        <v>0</v>
      </c>
      <c r="T4" s="14" t="s">
        <v>148</v>
      </c>
      <c r="U4" s="38" t="s">
        <v>242</v>
      </c>
      <c r="V4" s="38"/>
      <c r="W4" s="14" t="s">
        <v>148</v>
      </c>
      <c r="X4" s="21">
        <v>455</v>
      </c>
      <c r="Y4" s="19" t="s">
        <v>284</v>
      </c>
      <c r="Z4" s="19"/>
      <c r="AA4" s="19"/>
      <c r="AB4" s="14" t="s">
        <v>148</v>
      </c>
      <c r="AC4" s="13" t="s">
        <v>255</v>
      </c>
      <c r="AD4" s="14" t="s">
        <v>148</v>
      </c>
      <c r="AE4" s="19" t="s">
        <v>51</v>
      </c>
      <c r="AF4" s="15" t="s">
        <v>171</v>
      </c>
      <c r="AG4" s="19" t="s">
        <v>285</v>
      </c>
      <c r="AH4" s="15">
        <v>1</v>
      </c>
      <c r="AI4" s="14" t="s">
        <v>148</v>
      </c>
      <c r="AJ4" s="15" t="s">
        <v>171</v>
      </c>
      <c r="AK4" s="14" t="s">
        <v>148</v>
      </c>
      <c r="AL4" s="39" t="s">
        <v>286</v>
      </c>
      <c r="AM4" s="14" t="s">
        <v>148</v>
      </c>
      <c r="AN4" s="141">
        <f>IFERROR(SUM(CHOOSE(MATCH(N4,{"Baja";"Media";"Alta"},0),1,2,3),
CHOOSE(MATCH(Q4,{"Baja";"Media";"Alta"},0),1,2,3),
CHOOSE(MATCH(T4,{"Baja";"Media";"Alta"},0),1,2,3),
CHOOSE(MATCH(W4,{"Baja";"Media";"Alta"},0),1,2,3),
CHOOSE(MATCH(AB4,{"Baja";"Media";"Alta"},0),1,2,3),
CHOOSE(MATCH(AD4,{"Baja";"Media";"Alta"},0),1,2,3),
CHOOSE(MATCH(AI4,{"Baja";"Media";"Alta"},0),1,2,3),
CHOOSE(MATCH(AK4,{"Baja";"Media";"Alta"},0),1,2,3),
CHOOSE(MATCH(AM4,{"Baja";"Media";"Alta"},0),1,2,3)),0)</f>
        <v>12</v>
      </c>
      <c r="AO4" s="67" t="str">
        <f t="shared" si="0"/>
        <v>Bajo</v>
      </c>
      <c r="AP4" s="18"/>
      <c r="AQ4" s="18"/>
      <c r="AR4" s="165" t="e">
        <f>VLOOKUP(A4,#REF!,2,FALSE)</f>
        <v>#REF!</v>
      </c>
      <c r="AS4" s="94" t="s">
        <v>287</v>
      </c>
      <c r="AT4" s="94" t="s">
        <v>288</v>
      </c>
      <c r="AU4" s="94" t="s">
        <v>289</v>
      </c>
      <c r="AV4" s="34">
        <v>1</v>
      </c>
      <c r="AW4" s="95" t="s">
        <v>290</v>
      </c>
    </row>
    <row r="5" spans="1:50" ht="91">
      <c r="A5" s="16" t="s">
        <v>291</v>
      </c>
      <c r="B5" s="16" t="str">
        <f t="shared" si="1"/>
        <v>csg-msa-sp-orqclientes0005</v>
      </c>
      <c r="C5" s="51" t="s">
        <v>292</v>
      </c>
      <c r="D5" s="16" t="s">
        <v>65</v>
      </c>
      <c r="E5" s="34" t="str">
        <f>VLOOKUP(D5,Tribus!$A$1:$B$33,2,FALSE)</f>
        <v>csg</v>
      </c>
      <c r="F5" s="42" t="s">
        <v>237</v>
      </c>
      <c r="G5" s="42" t="s">
        <v>246</v>
      </c>
      <c r="H5" s="42" t="s">
        <v>239</v>
      </c>
      <c r="I5" s="36" t="s">
        <v>240</v>
      </c>
      <c r="J5" s="86" t="s">
        <v>293</v>
      </c>
      <c r="K5" s="153" t="s">
        <v>248</v>
      </c>
      <c r="L5" s="19" t="s">
        <v>241</v>
      </c>
      <c r="M5" s="37">
        <v>7</v>
      </c>
      <c r="N5" s="47" t="s">
        <v>150</v>
      </c>
      <c r="O5" s="38" t="s">
        <v>101</v>
      </c>
      <c r="P5" s="37">
        <v>1</v>
      </c>
      <c r="Q5" s="47" t="s">
        <v>148</v>
      </c>
      <c r="R5" s="38" t="s">
        <v>294</v>
      </c>
      <c r="S5" s="37">
        <v>1</v>
      </c>
      <c r="T5" s="47" t="s">
        <v>149</v>
      </c>
      <c r="U5" s="38" t="s">
        <v>242</v>
      </c>
      <c r="V5" s="38"/>
      <c r="W5" s="47" t="s">
        <v>148</v>
      </c>
      <c r="X5" s="22" t="s">
        <v>295</v>
      </c>
      <c r="Y5" s="20" t="s">
        <v>296</v>
      </c>
      <c r="Z5" s="20"/>
      <c r="AA5" s="20"/>
      <c r="AB5" s="47" t="s">
        <v>148</v>
      </c>
      <c r="AC5" s="86" t="s">
        <v>255</v>
      </c>
      <c r="AD5" s="47" t="s">
        <v>148</v>
      </c>
      <c r="AE5" s="20" t="s">
        <v>51</v>
      </c>
      <c r="AF5" s="20" t="s">
        <v>297</v>
      </c>
      <c r="AG5" s="20" t="s">
        <v>298</v>
      </c>
      <c r="AH5" s="37">
        <v>1</v>
      </c>
      <c r="AI5" s="47" t="s">
        <v>148</v>
      </c>
      <c r="AJ5" s="37" t="s">
        <v>171</v>
      </c>
      <c r="AK5" s="47" t="s">
        <v>148</v>
      </c>
      <c r="AL5" s="40" t="s">
        <v>299</v>
      </c>
      <c r="AM5" s="47" t="s">
        <v>148</v>
      </c>
      <c r="AN5" s="150">
        <f>IFERROR(SUM(CHOOSE(MATCH(N5,{"Baja";"Media";"Alta"},0),1,2,3),
CHOOSE(MATCH(Q5,{"Baja";"Media";"Alta"},0),1,2,3),
CHOOSE(MATCH(T5,{"Baja";"Media";"Alta"},0),1,2,3),
CHOOSE(MATCH(W5,{"Baja";"Media";"Alta"},0),1,2,3),
CHOOSE(MATCH(AB5,{"Baja";"Media";"Alta"},0),1,2,3),
CHOOSE(MATCH(AD5,{"Baja";"Media";"Alta"},0),1,2,3),
CHOOSE(MATCH(AI5,{"Baja";"Media";"Alta"},0),1,2,3),
CHOOSE(MATCH(AK5,{"Baja";"Media";"Alta"},0),1,2,3),
CHOOSE(MATCH(AM5,{"Baja";"Media";"Alta"},0),1,2,3)),0)</f>
        <v>12</v>
      </c>
      <c r="AO5" s="67" t="str">
        <f t="shared" si="0"/>
        <v>Bajo</v>
      </c>
      <c r="AP5" s="18"/>
      <c r="AQ5" s="79" t="s">
        <v>300</v>
      </c>
      <c r="AR5" s="77" t="e">
        <f>VLOOKUP(A5,#REF!,2,FALSE)</f>
        <v>#REF!</v>
      </c>
      <c r="AS5" s="104" t="s">
        <v>301</v>
      </c>
      <c r="AT5" s="110" t="s">
        <v>302</v>
      </c>
      <c r="AU5" s="134" t="s">
        <v>303</v>
      </c>
      <c r="AV5" s="34">
        <v>1</v>
      </c>
      <c r="AW5" s="95" t="s">
        <v>304</v>
      </c>
    </row>
    <row r="6" spans="1:50" ht="80">
      <c r="A6" s="11" t="s">
        <v>305</v>
      </c>
      <c r="B6" s="11" t="str">
        <f t="shared" si="1"/>
        <v>tpr-msa-sp-orqclientes0007</v>
      </c>
      <c r="C6" s="57" t="s">
        <v>306</v>
      </c>
      <c r="D6" s="11" t="s">
        <v>59</v>
      </c>
      <c r="E6" s="114" t="str">
        <f>VLOOKUP(D6,Tribus!$A$1:$B$33,2,FALSE)</f>
        <v>tpr</v>
      </c>
      <c r="F6" s="12" t="s">
        <v>237</v>
      </c>
      <c r="G6" s="12" t="s">
        <v>246</v>
      </c>
      <c r="H6" s="12" t="s">
        <v>239</v>
      </c>
      <c r="I6" s="151" t="s">
        <v>240</v>
      </c>
      <c r="J6" s="19" t="s">
        <v>307</v>
      </c>
      <c r="K6" s="19" t="s">
        <v>237</v>
      </c>
      <c r="L6" s="19" t="s">
        <v>241</v>
      </c>
      <c r="M6" s="15">
        <v>1</v>
      </c>
      <c r="N6" s="14" t="s">
        <v>148</v>
      </c>
      <c r="O6" s="15" t="s">
        <v>101</v>
      </c>
      <c r="P6" s="15">
        <v>1</v>
      </c>
      <c r="Q6" s="14" t="s">
        <v>148</v>
      </c>
      <c r="R6" s="15" t="s">
        <v>242</v>
      </c>
      <c r="S6" s="15">
        <v>0</v>
      </c>
      <c r="T6" s="14" t="s">
        <v>148</v>
      </c>
      <c r="U6" s="147" t="s">
        <v>308</v>
      </c>
      <c r="V6" s="15" t="s">
        <v>309</v>
      </c>
      <c r="W6" s="14" t="s">
        <v>149</v>
      </c>
      <c r="X6" s="21" t="s">
        <v>310</v>
      </c>
      <c r="Y6" s="19" t="s">
        <v>311</v>
      </c>
      <c r="Z6" s="19"/>
      <c r="AA6" s="19"/>
      <c r="AB6" s="14" t="s">
        <v>148</v>
      </c>
      <c r="AC6" s="13" t="s">
        <v>312</v>
      </c>
      <c r="AD6" s="14" t="s">
        <v>148</v>
      </c>
      <c r="AE6" s="19" t="s">
        <v>313</v>
      </c>
      <c r="AF6" s="19" t="s">
        <v>314</v>
      </c>
      <c r="AG6" s="19" t="s">
        <v>315</v>
      </c>
      <c r="AH6" s="15">
        <v>2</v>
      </c>
      <c r="AI6" s="14" t="s">
        <v>149</v>
      </c>
      <c r="AJ6" s="15" t="s">
        <v>171</v>
      </c>
      <c r="AK6" s="14" t="s">
        <v>148</v>
      </c>
      <c r="AL6" s="39" t="s">
        <v>316</v>
      </c>
      <c r="AM6" s="14" t="s">
        <v>148</v>
      </c>
      <c r="AN6" s="141">
        <f>IFERROR(SUM(CHOOSE(MATCH(N6,{"Baja";"Media";"Alta"},0),1,2,3),
CHOOSE(MATCH(Q6,{"Baja";"Media";"Alta"},0),1,2,3),
CHOOSE(MATCH(T6,{"Baja";"Media";"Alta"},0),1,2,3),
CHOOSE(MATCH(W6,{"Baja";"Media";"Alta"},0),1,2,3),
CHOOSE(MATCH(AB6,{"Baja";"Media";"Alta"},0),1,2,3),
CHOOSE(MATCH(AD6,{"Baja";"Media";"Alta"},0),1,2,3),
CHOOSE(MATCH(AI6,{"Baja";"Media";"Alta"},0),1,2,3),
CHOOSE(MATCH(AK6,{"Baja";"Media";"Alta"},0),1,2,3),
CHOOSE(MATCH(AM6,{"Baja";"Media";"Alta"},0),1,2,3)),0)</f>
        <v>11</v>
      </c>
      <c r="AO6" s="67" t="str">
        <f t="shared" si="0"/>
        <v>Bajo</v>
      </c>
      <c r="AP6" s="18"/>
      <c r="AQ6" s="18" t="s">
        <v>317</v>
      </c>
      <c r="AR6" s="165" t="e">
        <f>VLOOKUP(A6,#REF!,2,FALSE)</f>
        <v>#REF!</v>
      </c>
      <c r="AS6" s="101" t="s">
        <v>318</v>
      </c>
      <c r="AT6" s="94" t="s">
        <v>319</v>
      </c>
      <c r="AU6" s="87" t="s">
        <v>320</v>
      </c>
      <c r="AV6" s="34">
        <v>1</v>
      </c>
      <c r="AW6" s="95" t="s">
        <v>321</v>
      </c>
    </row>
    <row r="7" spans="1:50" ht="80">
      <c r="A7" s="11" t="s">
        <v>322</v>
      </c>
      <c r="B7" s="11" t="str">
        <f t="shared" si="1"/>
        <v>tnd-msa-sp-orqclientes0008</v>
      </c>
      <c r="C7" s="57" t="s">
        <v>323</v>
      </c>
      <c r="D7" s="11" t="s">
        <v>61</v>
      </c>
      <c r="E7" s="114" t="str">
        <f>VLOOKUP(D7,Tribus!$A$1:$B$33,2,FALSE)</f>
        <v>tnd</v>
      </c>
      <c r="F7" s="12" t="s">
        <v>237</v>
      </c>
      <c r="G7" s="12" t="s">
        <v>246</v>
      </c>
      <c r="H7" s="12" t="s">
        <v>239</v>
      </c>
      <c r="I7" s="151" t="s">
        <v>240</v>
      </c>
      <c r="J7" s="19" t="s">
        <v>324</v>
      </c>
      <c r="K7" s="19" t="s">
        <v>248</v>
      </c>
      <c r="L7" s="19" t="s">
        <v>241</v>
      </c>
      <c r="M7" s="15">
        <v>4</v>
      </c>
      <c r="N7" s="14" t="s">
        <v>150</v>
      </c>
      <c r="O7" s="19" t="s">
        <v>325</v>
      </c>
      <c r="P7" s="15">
        <v>2</v>
      </c>
      <c r="Q7" s="14" t="s">
        <v>149</v>
      </c>
      <c r="R7" s="15" t="s">
        <v>242</v>
      </c>
      <c r="S7" s="15">
        <v>0</v>
      </c>
      <c r="T7" s="14" t="s">
        <v>148</v>
      </c>
      <c r="U7" s="147" t="s">
        <v>326</v>
      </c>
      <c r="V7" s="15" t="s">
        <v>327</v>
      </c>
      <c r="W7" s="14" t="s">
        <v>149</v>
      </c>
      <c r="X7" s="21" t="s">
        <v>328</v>
      </c>
      <c r="Y7" s="19" t="s">
        <v>329</v>
      </c>
      <c r="Z7" s="19"/>
      <c r="AA7" s="19"/>
      <c r="AB7" s="14" t="s">
        <v>148</v>
      </c>
      <c r="AC7" s="13" t="s">
        <v>255</v>
      </c>
      <c r="AD7" s="14" t="s">
        <v>148</v>
      </c>
      <c r="AE7" s="19" t="s">
        <v>63</v>
      </c>
      <c r="AF7" s="90" t="s">
        <v>330</v>
      </c>
      <c r="AG7" s="19" t="s">
        <v>331</v>
      </c>
      <c r="AH7" s="15">
        <v>1</v>
      </c>
      <c r="AI7" s="14" t="s">
        <v>148</v>
      </c>
      <c r="AJ7" s="15" t="s">
        <v>332</v>
      </c>
      <c r="AK7" s="14" t="s">
        <v>148</v>
      </c>
      <c r="AL7" s="39" t="s">
        <v>333</v>
      </c>
      <c r="AM7" s="14" t="s">
        <v>148</v>
      </c>
      <c r="AN7" s="141">
        <f>IFERROR(SUM(CHOOSE(MATCH(N7,{"Baja";"Media";"Alta"},0),1,2,3),
CHOOSE(MATCH(Q7,{"Baja";"Media";"Alta"},0),1,2,3),
CHOOSE(MATCH(T7,{"Baja";"Media";"Alta"},0),1,2,3),
CHOOSE(MATCH(W7,{"Baja";"Media";"Alta"},0),1,2,3),
CHOOSE(MATCH(AB7,{"Baja";"Media";"Alta"},0),1,2,3),
CHOOSE(MATCH(AD7,{"Baja";"Media";"Alta"},0),1,2,3),
CHOOSE(MATCH(AI7,{"Baja";"Media";"Alta"},0),1,2,3),
CHOOSE(MATCH(AK7,{"Baja";"Media";"Alta"},0),1,2,3),
CHOOSE(MATCH(AM7,{"Baja";"Media";"Alta"},0),1,2,3)),0)</f>
        <v>13</v>
      </c>
      <c r="AO7" s="67" t="str">
        <f t="shared" si="0"/>
        <v>Bajo</v>
      </c>
      <c r="AP7" s="18"/>
      <c r="AQ7" s="18"/>
      <c r="AR7" s="165" t="e">
        <f>VLOOKUP(A7,#REF!,2,FALSE)</f>
        <v>#REF!</v>
      </c>
      <c r="AS7" s="87" t="s">
        <v>334</v>
      </c>
      <c r="AT7" s="124" t="s">
        <v>335</v>
      </c>
      <c r="AU7" s="94" t="s">
        <v>336</v>
      </c>
      <c r="AV7" s="34">
        <v>1</v>
      </c>
      <c r="AW7" s="95" t="s">
        <v>337</v>
      </c>
    </row>
    <row r="8" spans="1:50" ht="409.6">
      <c r="A8" s="11" t="s">
        <v>338</v>
      </c>
      <c r="B8" s="11" t="str">
        <f t="shared" si="1"/>
        <v>tnd-msa-sp-orqclientes0016</v>
      </c>
      <c r="C8" s="57" t="s">
        <v>339</v>
      </c>
      <c r="D8" s="11" t="s">
        <v>61</v>
      </c>
      <c r="E8" s="114" t="str">
        <f>VLOOKUP(D8,Tribus!$A$1:$B$33,2,FALSE)</f>
        <v>tnd</v>
      </c>
      <c r="F8" s="12" t="s">
        <v>237</v>
      </c>
      <c r="G8" s="12" t="s">
        <v>246</v>
      </c>
      <c r="H8" s="12" t="s">
        <v>239</v>
      </c>
      <c r="I8" s="151" t="s">
        <v>240</v>
      </c>
      <c r="J8" s="19" t="s">
        <v>340</v>
      </c>
      <c r="K8" s="19" t="s">
        <v>248</v>
      </c>
      <c r="L8" s="19" t="s">
        <v>241</v>
      </c>
      <c r="M8" s="15">
        <v>8</v>
      </c>
      <c r="N8" s="14" t="s">
        <v>150</v>
      </c>
      <c r="O8" s="19" t="s">
        <v>325</v>
      </c>
      <c r="P8" s="15">
        <v>2</v>
      </c>
      <c r="Q8" s="14" t="s">
        <v>149</v>
      </c>
      <c r="R8" s="13" t="s">
        <v>242</v>
      </c>
      <c r="S8" s="13">
        <v>0</v>
      </c>
      <c r="T8" s="14" t="s">
        <v>148</v>
      </c>
      <c r="U8" s="146" t="s">
        <v>341</v>
      </c>
      <c r="V8" s="13" t="s">
        <v>327</v>
      </c>
      <c r="W8" s="14" t="s">
        <v>149</v>
      </c>
      <c r="X8" s="21" t="s">
        <v>342</v>
      </c>
      <c r="Y8" s="19" t="s">
        <v>343</v>
      </c>
      <c r="Z8" s="19"/>
      <c r="AA8" s="19"/>
      <c r="AB8" s="14" t="s">
        <v>148</v>
      </c>
      <c r="AC8" s="13" t="s">
        <v>255</v>
      </c>
      <c r="AD8" s="14" t="s">
        <v>148</v>
      </c>
      <c r="AE8" s="19" t="s">
        <v>63</v>
      </c>
      <c r="AF8" s="93" t="s">
        <v>330</v>
      </c>
      <c r="AG8" s="19" t="s">
        <v>344</v>
      </c>
      <c r="AH8" s="15" t="s">
        <v>345</v>
      </c>
      <c r="AI8" s="14" t="s">
        <v>148</v>
      </c>
      <c r="AJ8" s="15" t="s">
        <v>171</v>
      </c>
      <c r="AK8" s="14" t="s">
        <v>148</v>
      </c>
      <c r="AL8" s="39" t="s">
        <v>346</v>
      </c>
      <c r="AM8" s="14" t="s">
        <v>148</v>
      </c>
      <c r="AN8" s="141">
        <f>IFERROR(SUM(CHOOSE(MATCH(N8,{"Baja";"Media";"Alta"},0),1,2,3),
CHOOSE(MATCH(Q8,{"Baja";"Media";"Alta"},0),1,2,3),
CHOOSE(MATCH(T8,{"Baja";"Media";"Alta"},0),1,2,3),
CHOOSE(MATCH(W8,{"Baja";"Media";"Alta"},0),1,2,3),
CHOOSE(MATCH(AB8,{"Baja";"Media";"Alta"},0),1,2,3),
CHOOSE(MATCH(AD8,{"Baja";"Media";"Alta"},0),1,2,3),
CHOOSE(MATCH(AI8,{"Baja";"Media";"Alta"},0),1,2,3),
CHOOSE(MATCH(AK8,{"Baja";"Media";"Alta"},0),1,2,3),
CHOOSE(MATCH(AM8,{"Baja";"Media";"Alta"},0),1,2,3)),0)</f>
        <v>13</v>
      </c>
      <c r="AO8" s="67" t="str">
        <f t="shared" si="0"/>
        <v>Bajo</v>
      </c>
      <c r="AP8" s="18"/>
      <c r="AQ8" s="18"/>
      <c r="AR8" s="165" t="e">
        <f>VLOOKUP(A8,#REF!,2,FALSE)</f>
        <v>#REF!</v>
      </c>
      <c r="AS8" s="93" t="s">
        <v>347</v>
      </c>
      <c r="AT8" s="142" t="s">
        <v>348</v>
      </c>
      <c r="AU8" s="98" t="s">
        <v>349</v>
      </c>
      <c r="AV8" s="34">
        <v>1</v>
      </c>
      <c r="AW8" s="95" t="s">
        <v>350</v>
      </c>
    </row>
    <row r="9" spans="1:50" ht="112">
      <c r="A9" s="11" t="s">
        <v>351</v>
      </c>
      <c r="B9" s="11" t="str">
        <f t="shared" si="1"/>
        <v>tpr-msa-sp-orqclientes0017</v>
      </c>
      <c r="C9" s="57" t="s">
        <v>352</v>
      </c>
      <c r="D9" s="11" t="s">
        <v>59</v>
      </c>
      <c r="E9" s="114" t="str">
        <f>VLOOKUP(D9,Tribus!$A$1:$B$33,2,FALSE)</f>
        <v>tpr</v>
      </c>
      <c r="F9" s="12" t="s">
        <v>237</v>
      </c>
      <c r="G9" s="12" t="s">
        <v>246</v>
      </c>
      <c r="H9" s="12" t="s">
        <v>239</v>
      </c>
      <c r="I9" s="151" t="s">
        <v>240</v>
      </c>
      <c r="J9" s="19" t="s">
        <v>353</v>
      </c>
      <c r="K9" s="19" t="s">
        <v>248</v>
      </c>
      <c r="L9" s="19" t="s">
        <v>241</v>
      </c>
      <c r="M9" s="15">
        <v>7</v>
      </c>
      <c r="N9" s="14" t="s">
        <v>150</v>
      </c>
      <c r="O9" s="19" t="s">
        <v>325</v>
      </c>
      <c r="P9" s="15">
        <v>2</v>
      </c>
      <c r="Q9" s="14" t="s">
        <v>148</v>
      </c>
      <c r="R9" s="15" t="s">
        <v>242</v>
      </c>
      <c r="S9" s="15">
        <v>0</v>
      </c>
      <c r="T9" s="14" t="s">
        <v>148</v>
      </c>
      <c r="U9" s="84" t="s">
        <v>242</v>
      </c>
      <c r="V9" s="15"/>
      <c r="W9" s="14" t="s">
        <v>148</v>
      </c>
      <c r="X9" s="21" t="s">
        <v>354</v>
      </c>
      <c r="Y9" s="19" t="s">
        <v>355</v>
      </c>
      <c r="Z9" s="19"/>
      <c r="AA9" s="19"/>
      <c r="AB9" s="14" t="s">
        <v>148</v>
      </c>
      <c r="AC9" s="13" t="s">
        <v>255</v>
      </c>
      <c r="AD9" s="14" t="s">
        <v>148</v>
      </c>
      <c r="AE9" s="19" t="s">
        <v>63</v>
      </c>
      <c r="AF9" s="93" t="s">
        <v>330</v>
      </c>
      <c r="AG9" s="19" t="s">
        <v>344</v>
      </c>
      <c r="AH9" s="15">
        <v>1</v>
      </c>
      <c r="AI9" s="14" t="s">
        <v>148</v>
      </c>
      <c r="AJ9" s="15" t="s">
        <v>171</v>
      </c>
      <c r="AK9" s="14" t="s">
        <v>148</v>
      </c>
      <c r="AL9" s="39" t="s">
        <v>356</v>
      </c>
      <c r="AM9" s="14" t="s">
        <v>148</v>
      </c>
      <c r="AN9" s="141">
        <f>IFERROR(SUM(CHOOSE(MATCH(N9,{"Baja";"Media";"Alta"},0),1,2,3),
CHOOSE(MATCH(Q9,{"Baja";"Media";"Alta"},0),1,2,3),
CHOOSE(MATCH(T9,{"Baja";"Media";"Alta"},0),1,2,3),
CHOOSE(MATCH(W9,{"Baja";"Media";"Alta"},0),1,2,3),
CHOOSE(MATCH(AB9,{"Baja";"Media";"Alta"},0),1,2,3),
CHOOSE(MATCH(AD9,{"Baja";"Media";"Alta"},0),1,2,3),
CHOOSE(MATCH(AI9,{"Baja";"Media";"Alta"},0),1,2,3),
CHOOSE(MATCH(AK9,{"Baja";"Media";"Alta"},0),1,2,3),
CHOOSE(MATCH(AM9,{"Baja";"Media";"Alta"},0),1,2,3)),0)</f>
        <v>11</v>
      </c>
      <c r="AO9" s="67" t="str">
        <f t="shared" si="0"/>
        <v>Bajo</v>
      </c>
      <c r="AP9" s="18"/>
      <c r="AQ9" s="18"/>
      <c r="AR9" s="165" t="e">
        <f>VLOOKUP(A9,#REF!,2,FALSE)</f>
        <v>#REF!</v>
      </c>
      <c r="AS9" s="87" t="s">
        <v>357</v>
      </c>
      <c r="AT9" s="94" t="s">
        <v>358</v>
      </c>
      <c r="AU9" s="94" t="s">
        <v>359</v>
      </c>
      <c r="AV9" s="34">
        <v>1</v>
      </c>
      <c r="AW9" s="95" t="s">
        <v>360</v>
      </c>
    </row>
    <row r="10" spans="1:50" ht="80">
      <c r="A10" s="11" t="s">
        <v>361</v>
      </c>
      <c r="B10" s="11" t="str">
        <f t="shared" si="1"/>
        <v>tnd-msa-sp-orqclientes0019</v>
      </c>
      <c r="C10" s="57" t="s">
        <v>362</v>
      </c>
      <c r="D10" s="11" t="s">
        <v>61</v>
      </c>
      <c r="E10" s="114" t="str">
        <f>VLOOKUP(D10,Tribus!$A$1:$B$33,2,FALSE)</f>
        <v>tnd</v>
      </c>
      <c r="F10" s="12" t="s">
        <v>237</v>
      </c>
      <c r="G10" s="12" t="s">
        <v>246</v>
      </c>
      <c r="H10" s="12" t="s">
        <v>239</v>
      </c>
      <c r="I10" s="151" t="s">
        <v>240</v>
      </c>
      <c r="J10" s="19" t="s">
        <v>363</v>
      </c>
      <c r="K10" s="19" t="s">
        <v>237</v>
      </c>
      <c r="L10" s="19" t="s">
        <v>241</v>
      </c>
      <c r="M10" s="15">
        <v>5</v>
      </c>
      <c r="N10" s="14" t="s">
        <v>150</v>
      </c>
      <c r="O10" s="15" t="s">
        <v>364</v>
      </c>
      <c r="P10" s="15">
        <v>1</v>
      </c>
      <c r="Q10" s="14" t="s">
        <v>148</v>
      </c>
      <c r="R10" s="15" t="s">
        <v>242</v>
      </c>
      <c r="S10" s="15">
        <v>0</v>
      </c>
      <c r="T10" s="14" t="s">
        <v>148</v>
      </c>
      <c r="U10" s="38" t="s">
        <v>242</v>
      </c>
      <c r="V10" s="38"/>
      <c r="W10" s="14" t="s">
        <v>148</v>
      </c>
      <c r="X10" s="21">
        <v>876</v>
      </c>
      <c r="Y10" s="19" t="s">
        <v>365</v>
      </c>
      <c r="Z10" s="19"/>
      <c r="AA10" s="19"/>
      <c r="AB10" s="14" t="s">
        <v>148</v>
      </c>
      <c r="AC10" s="13" t="s">
        <v>255</v>
      </c>
      <c r="AD10" s="14" t="s">
        <v>148</v>
      </c>
      <c r="AE10" s="19" t="s">
        <v>366</v>
      </c>
      <c r="AF10" s="15" t="s">
        <v>171</v>
      </c>
      <c r="AG10" s="19" t="s">
        <v>367</v>
      </c>
      <c r="AH10" s="15">
        <v>3</v>
      </c>
      <c r="AI10" s="14" t="s">
        <v>149</v>
      </c>
      <c r="AJ10" s="15" t="s">
        <v>171</v>
      </c>
      <c r="AK10" s="14" t="s">
        <v>148</v>
      </c>
      <c r="AL10" s="39" t="s">
        <v>368</v>
      </c>
      <c r="AM10" s="14" t="s">
        <v>148</v>
      </c>
      <c r="AN10" s="141">
        <f>IFERROR(SUM(CHOOSE(MATCH(N10,{"Baja";"Media";"Alta"},0),1,2,3),
CHOOSE(MATCH(Q10,{"Baja";"Media";"Alta"},0),1,2,3),
CHOOSE(MATCH(T10,{"Baja";"Media";"Alta"},0),1,2,3),
CHOOSE(MATCH(W10,{"Baja";"Media";"Alta"},0),1,2,3),
CHOOSE(MATCH(AB10,{"Baja";"Media";"Alta"},0),1,2,3),
CHOOSE(MATCH(AD10,{"Baja";"Media";"Alta"},0),1,2,3),
CHOOSE(MATCH(AI10,{"Baja";"Media";"Alta"},0),1,2,3),
CHOOSE(MATCH(AK10,{"Baja";"Media";"Alta"},0),1,2,3),
CHOOSE(MATCH(AM10,{"Baja";"Media";"Alta"},0),1,2,3)),0)</f>
        <v>12</v>
      </c>
      <c r="AO10" s="67" t="str">
        <f t="shared" si="0"/>
        <v>Bajo</v>
      </c>
      <c r="AP10" s="18"/>
      <c r="AQ10" s="18"/>
      <c r="AR10" s="165" t="e">
        <f>VLOOKUP(A10,#REF!,2,FALSE)</f>
        <v>#REF!</v>
      </c>
      <c r="AS10" s="94" t="s">
        <v>369</v>
      </c>
      <c r="AT10" s="94" t="s">
        <v>370</v>
      </c>
      <c r="AU10" s="87" t="s">
        <v>371</v>
      </c>
      <c r="AV10" s="34">
        <v>1</v>
      </c>
      <c r="AW10" s="95" t="s">
        <v>372</v>
      </c>
    </row>
    <row r="11" spans="1:50" ht="48">
      <c r="A11" s="16" t="s">
        <v>373</v>
      </c>
      <c r="B11" s="16" t="str">
        <f t="shared" si="1"/>
        <v>tnd-msa-sp-orqclientes0022</v>
      </c>
      <c r="C11" s="51" t="s">
        <v>374</v>
      </c>
      <c r="D11" s="16" t="s">
        <v>61</v>
      </c>
      <c r="E11" s="34" t="str">
        <f>VLOOKUP(D11,Tribus!$A$1:$B$33,2,FALSE)</f>
        <v>tnd</v>
      </c>
      <c r="F11" s="42" t="s">
        <v>237</v>
      </c>
      <c r="G11" s="42" t="s">
        <v>246</v>
      </c>
      <c r="H11" s="42" t="s">
        <v>239</v>
      </c>
      <c r="I11" s="36" t="s">
        <v>240</v>
      </c>
      <c r="J11" s="86" t="s">
        <v>375</v>
      </c>
      <c r="K11" s="153" t="s">
        <v>237</v>
      </c>
      <c r="L11" s="19" t="s">
        <v>241</v>
      </c>
      <c r="M11" s="37">
        <v>1</v>
      </c>
      <c r="N11" s="47" t="s">
        <v>148</v>
      </c>
      <c r="O11" s="38" t="s">
        <v>101</v>
      </c>
      <c r="P11" s="37">
        <v>1</v>
      </c>
      <c r="Q11" s="47" t="s">
        <v>148</v>
      </c>
      <c r="R11" s="32" t="s">
        <v>242</v>
      </c>
      <c r="S11" s="37">
        <v>0</v>
      </c>
      <c r="T11" s="47" t="s">
        <v>148</v>
      </c>
      <c r="U11" s="38" t="s">
        <v>242</v>
      </c>
      <c r="V11" s="38"/>
      <c r="W11" s="47" t="s">
        <v>148</v>
      </c>
      <c r="X11" s="22" t="s">
        <v>376</v>
      </c>
      <c r="Y11" s="20" t="s">
        <v>377</v>
      </c>
      <c r="Z11" s="20"/>
      <c r="AA11" s="20"/>
      <c r="AB11" s="47" t="s">
        <v>148</v>
      </c>
      <c r="AC11" s="86" t="s">
        <v>255</v>
      </c>
      <c r="AD11" s="47" t="s">
        <v>148</v>
      </c>
      <c r="AE11" s="20" t="s">
        <v>63</v>
      </c>
      <c r="AF11" s="20" t="s">
        <v>378</v>
      </c>
      <c r="AG11" s="19" t="s">
        <v>344</v>
      </c>
      <c r="AH11" s="37">
        <v>1</v>
      </c>
      <c r="AI11" s="47" t="s">
        <v>148</v>
      </c>
      <c r="AJ11" s="37" t="s">
        <v>171</v>
      </c>
      <c r="AK11" s="47" t="s">
        <v>148</v>
      </c>
      <c r="AL11" s="40" t="s">
        <v>379</v>
      </c>
      <c r="AM11" s="47" t="s">
        <v>148</v>
      </c>
      <c r="AN11" s="150">
        <f>IFERROR(SUM(CHOOSE(MATCH(N11,{"Baja";"Media";"Alta"},0),1,2,3),
CHOOSE(MATCH(Q11,{"Baja";"Media";"Alta"},0),1,2,3),
CHOOSE(MATCH(T11,{"Baja";"Media";"Alta"},0),1,2,3),
CHOOSE(MATCH(W11,{"Baja";"Media";"Alta"},0),1,2,3),
CHOOSE(MATCH(AB11,{"Baja";"Media";"Alta"},0),1,2,3),
CHOOSE(MATCH(AD11,{"Baja";"Media";"Alta"},0),1,2,3),
CHOOSE(MATCH(AI11,{"Baja";"Media";"Alta"},0),1,2,3),
CHOOSE(MATCH(AK11,{"Baja";"Media";"Alta"},0),1,2,3),
CHOOSE(MATCH(AM11,{"Baja";"Media";"Alta"},0),1,2,3)),0)</f>
        <v>9</v>
      </c>
      <c r="AO11" s="67" t="str">
        <f t="shared" si="0"/>
        <v>Bajo</v>
      </c>
      <c r="AP11" s="18"/>
      <c r="AQ11" s="76"/>
      <c r="AR11" s="77" t="e">
        <f>VLOOKUP(A11,#REF!,2,FALSE)</f>
        <v>#REF!</v>
      </c>
      <c r="AS11" s="104" t="s">
        <v>380</v>
      </c>
      <c r="AT11" s="110" t="s">
        <v>381</v>
      </c>
      <c r="AU11" s="134" t="s">
        <v>382</v>
      </c>
      <c r="AV11" s="34">
        <v>1</v>
      </c>
      <c r="AW11" s="95" t="s">
        <v>383</v>
      </c>
    </row>
    <row r="12" spans="1:50" ht="64">
      <c r="A12" s="11" t="s">
        <v>384</v>
      </c>
      <c r="B12" s="11" t="str">
        <f t="shared" si="1"/>
        <v>tpr-msa-sp-orqclientes0023</v>
      </c>
      <c r="C12" s="57" t="s">
        <v>385</v>
      </c>
      <c r="D12" s="11" t="s">
        <v>59</v>
      </c>
      <c r="E12" s="114" t="str">
        <f>VLOOKUP(D12,Tribus!$A$1:$B$33,2,FALSE)</f>
        <v>tpr</v>
      </c>
      <c r="F12" s="12" t="s">
        <v>237</v>
      </c>
      <c r="G12" s="12" t="s">
        <v>246</v>
      </c>
      <c r="H12" s="12" t="s">
        <v>239</v>
      </c>
      <c r="I12" s="151" t="s">
        <v>240</v>
      </c>
      <c r="J12" s="19" t="s">
        <v>386</v>
      </c>
      <c r="K12" s="19" t="s">
        <v>248</v>
      </c>
      <c r="L12" s="19" t="s">
        <v>241</v>
      </c>
      <c r="M12" s="15">
        <v>4</v>
      </c>
      <c r="N12" s="14" t="s">
        <v>150</v>
      </c>
      <c r="O12" s="15" t="s">
        <v>364</v>
      </c>
      <c r="P12" s="15">
        <v>1</v>
      </c>
      <c r="Q12" s="14" t="s">
        <v>148</v>
      </c>
      <c r="R12" s="15" t="s">
        <v>242</v>
      </c>
      <c r="S12" s="15">
        <v>0</v>
      </c>
      <c r="T12" s="14" t="s">
        <v>148</v>
      </c>
      <c r="U12" s="84" t="s">
        <v>242</v>
      </c>
      <c r="V12" s="15"/>
      <c r="W12" s="14" t="s">
        <v>148</v>
      </c>
      <c r="X12" s="21">
        <v>896</v>
      </c>
      <c r="Y12" s="19" t="s">
        <v>387</v>
      </c>
      <c r="Z12" s="19"/>
      <c r="AA12" s="19"/>
      <c r="AB12" s="14" t="s">
        <v>148</v>
      </c>
      <c r="AC12" s="13" t="s">
        <v>255</v>
      </c>
      <c r="AD12" s="14" t="s">
        <v>148</v>
      </c>
      <c r="AE12" s="19" t="s">
        <v>366</v>
      </c>
      <c r="AF12" s="19"/>
      <c r="AG12" s="19" t="s">
        <v>388</v>
      </c>
      <c r="AH12" s="15">
        <v>3</v>
      </c>
      <c r="AI12" s="14" t="s">
        <v>149</v>
      </c>
      <c r="AJ12" s="15" t="s">
        <v>171</v>
      </c>
      <c r="AK12" s="14" t="s">
        <v>148</v>
      </c>
      <c r="AL12" s="39" t="s">
        <v>389</v>
      </c>
      <c r="AM12" s="14" t="s">
        <v>148</v>
      </c>
      <c r="AN12" s="141">
        <f>IFERROR(SUM(CHOOSE(MATCH(N12,{"Baja";"Media";"Alta"},0),1,2,3),
CHOOSE(MATCH(Q12,{"Baja";"Media";"Alta"},0),1,2,3),
CHOOSE(MATCH(T12,{"Baja";"Media";"Alta"},0),1,2,3),
CHOOSE(MATCH(W12,{"Baja";"Media";"Alta"},0),1,2,3),
CHOOSE(MATCH(AB12,{"Baja";"Media";"Alta"},0),1,2,3),
CHOOSE(MATCH(AD12,{"Baja";"Media";"Alta"},0),1,2,3),
CHOOSE(MATCH(AI12,{"Baja";"Media";"Alta"},0),1,2,3),
CHOOSE(MATCH(AK12,{"Baja";"Media";"Alta"},0),1,2,3),
CHOOSE(MATCH(AM12,{"Baja";"Media";"Alta"},0),1,2,3)),0)</f>
        <v>12</v>
      </c>
      <c r="AO12" s="67" t="str">
        <f t="shared" si="0"/>
        <v>Bajo</v>
      </c>
      <c r="AP12" s="18"/>
      <c r="AQ12" s="18" t="s">
        <v>390</v>
      </c>
      <c r="AR12" s="165" t="e">
        <f>VLOOKUP(A12,#REF!,2,FALSE)</f>
        <v>#REF!</v>
      </c>
      <c r="AS12" s="101" t="s">
        <v>391</v>
      </c>
      <c r="AT12" s="101" t="s">
        <v>392</v>
      </c>
      <c r="AU12" s="87" t="s">
        <v>393</v>
      </c>
      <c r="AV12" s="34">
        <v>1</v>
      </c>
      <c r="AW12" s="95" t="s">
        <v>394</v>
      </c>
    </row>
    <row r="13" spans="1:50" ht="64">
      <c r="A13" s="11" t="s">
        <v>395</v>
      </c>
      <c r="B13" s="11" t="str">
        <f t="shared" si="1"/>
        <v>tpr-msa-sp-orqclientes0024</v>
      </c>
      <c r="C13" s="57" t="s">
        <v>396</v>
      </c>
      <c r="D13" s="11" t="s">
        <v>59</v>
      </c>
      <c r="E13" s="114" t="str">
        <f>VLOOKUP(D13,Tribus!$A$1:$B$33,2,FALSE)</f>
        <v>tpr</v>
      </c>
      <c r="F13" s="12" t="s">
        <v>237</v>
      </c>
      <c r="G13" s="12" t="s">
        <v>246</v>
      </c>
      <c r="H13" s="12" t="s">
        <v>239</v>
      </c>
      <c r="I13" s="151" t="s">
        <v>240</v>
      </c>
      <c r="J13" s="19" t="s">
        <v>397</v>
      </c>
      <c r="K13" s="19" t="s">
        <v>237</v>
      </c>
      <c r="L13" s="19" t="s">
        <v>241</v>
      </c>
      <c r="M13" s="15">
        <v>4</v>
      </c>
      <c r="N13" s="14" t="s">
        <v>150</v>
      </c>
      <c r="O13" s="19" t="s">
        <v>398</v>
      </c>
      <c r="P13" s="15">
        <v>2</v>
      </c>
      <c r="Q13" s="14" t="s">
        <v>149</v>
      </c>
      <c r="R13" s="15" t="s">
        <v>242</v>
      </c>
      <c r="S13" s="15">
        <v>0</v>
      </c>
      <c r="T13" s="14" t="s">
        <v>148</v>
      </c>
      <c r="U13" s="84" t="s">
        <v>242</v>
      </c>
      <c r="V13" s="15"/>
      <c r="W13" s="14" t="s">
        <v>148</v>
      </c>
      <c r="X13" s="21" t="s">
        <v>399</v>
      </c>
      <c r="Y13" s="19" t="s">
        <v>400</v>
      </c>
      <c r="Z13" s="19"/>
      <c r="AA13" s="19"/>
      <c r="AB13" s="14" t="s">
        <v>148</v>
      </c>
      <c r="AC13" s="13" t="s">
        <v>255</v>
      </c>
      <c r="AD13" s="14" t="s">
        <v>148</v>
      </c>
      <c r="AE13" s="19" t="s">
        <v>366</v>
      </c>
      <c r="AF13" s="19">
        <v>0</v>
      </c>
      <c r="AG13" s="19" t="s">
        <v>401</v>
      </c>
      <c r="AH13" s="15">
        <v>4</v>
      </c>
      <c r="AI13" s="14" t="s">
        <v>150</v>
      </c>
      <c r="AJ13" s="15" t="s">
        <v>332</v>
      </c>
      <c r="AK13" s="14" t="s">
        <v>148</v>
      </c>
      <c r="AL13" s="39" t="s">
        <v>402</v>
      </c>
      <c r="AM13" s="14" t="s">
        <v>148</v>
      </c>
      <c r="AN13" s="141">
        <f>IFERROR(SUM(CHOOSE(MATCH(N13,{"Baja";"Media";"Alta"},0),1,2,3),
CHOOSE(MATCH(Q13,{"Baja";"Media";"Alta"},0),1,2,3),
CHOOSE(MATCH(T13,{"Baja";"Media";"Alta"},0),1,2,3),
CHOOSE(MATCH(W13,{"Baja";"Media";"Alta"},0),1,2,3),
CHOOSE(MATCH(AB13,{"Baja";"Media";"Alta"},0),1,2,3),
CHOOSE(MATCH(AD13,{"Baja";"Media";"Alta"},0),1,2,3),
CHOOSE(MATCH(AI13,{"Baja";"Media";"Alta"},0),1,2,3),
CHOOSE(MATCH(AK13,{"Baja";"Media";"Alta"},0),1,2,3),
CHOOSE(MATCH(AM13,{"Baja";"Media";"Alta"},0),1,2,3)),0)</f>
        <v>14</v>
      </c>
      <c r="AO13" s="67" t="str">
        <f t="shared" si="0"/>
        <v>Bajo</v>
      </c>
      <c r="AP13" s="18"/>
      <c r="AQ13" s="18"/>
      <c r="AR13" s="165" t="e">
        <f>VLOOKUP(A13,#REF!,2,FALSE)</f>
        <v>#REF!</v>
      </c>
      <c r="AS13" s="87" t="s">
        <v>403</v>
      </c>
      <c r="AT13" s="94" t="s">
        <v>404</v>
      </c>
      <c r="AU13" s="87" t="s">
        <v>405</v>
      </c>
      <c r="AV13" s="34">
        <v>1</v>
      </c>
      <c r="AW13" s="95" t="s">
        <v>406</v>
      </c>
    </row>
    <row r="14" spans="1:50" ht="272">
      <c r="A14" s="11" t="s">
        <v>407</v>
      </c>
      <c r="B14" s="11" t="str">
        <f t="shared" si="1"/>
        <v>tpr-msa-sp-orqclientes0025</v>
      </c>
      <c r="C14" s="57" t="s">
        <v>408</v>
      </c>
      <c r="D14" s="11" t="s">
        <v>59</v>
      </c>
      <c r="E14" s="114" t="str">
        <f>VLOOKUP(D14,Tribus!$A$1:$B$33,2,FALSE)</f>
        <v>tpr</v>
      </c>
      <c r="F14" s="12" t="s">
        <v>237</v>
      </c>
      <c r="G14" s="12" t="s">
        <v>246</v>
      </c>
      <c r="H14" s="12" t="s">
        <v>239</v>
      </c>
      <c r="I14" s="151" t="s">
        <v>240</v>
      </c>
      <c r="J14" s="19" t="s">
        <v>409</v>
      </c>
      <c r="K14" s="19" t="s">
        <v>237</v>
      </c>
      <c r="L14" s="19" t="s">
        <v>241</v>
      </c>
      <c r="M14" s="15">
        <v>3</v>
      </c>
      <c r="N14" s="14" t="s">
        <v>149</v>
      </c>
      <c r="O14" s="15" t="s">
        <v>364</v>
      </c>
      <c r="P14" s="15"/>
      <c r="Q14" s="14" t="s">
        <v>148</v>
      </c>
      <c r="R14" s="13" t="s">
        <v>242</v>
      </c>
      <c r="S14" s="13">
        <v>0</v>
      </c>
      <c r="T14" s="14" t="s">
        <v>148</v>
      </c>
      <c r="U14" s="146" t="s">
        <v>242</v>
      </c>
      <c r="V14" s="13"/>
      <c r="W14" s="14" t="s">
        <v>148</v>
      </c>
      <c r="X14" s="21" t="s">
        <v>410</v>
      </c>
      <c r="Y14" s="19" t="s">
        <v>411</v>
      </c>
      <c r="Z14" s="19"/>
      <c r="AA14" s="19"/>
      <c r="AB14" s="14" t="s">
        <v>148</v>
      </c>
      <c r="AC14" s="13" t="s">
        <v>255</v>
      </c>
      <c r="AD14" s="14" t="s">
        <v>148</v>
      </c>
      <c r="AE14" s="19" t="s">
        <v>412</v>
      </c>
      <c r="AF14" s="19" t="s">
        <v>413</v>
      </c>
      <c r="AG14" s="19" t="s">
        <v>367</v>
      </c>
      <c r="AH14" s="15"/>
      <c r="AI14" s="14" t="s">
        <v>148</v>
      </c>
      <c r="AJ14" s="15" t="s">
        <v>171</v>
      </c>
      <c r="AK14" s="14" t="s">
        <v>148</v>
      </c>
      <c r="AL14" s="39" t="s">
        <v>414</v>
      </c>
      <c r="AM14" s="14" t="s">
        <v>148</v>
      </c>
      <c r="AN14" s="141">
        <f>IFERROR(SUM(CHOOSE(MATCH(N14,{"Baja";"Media";"Alta"},0),1,2,3),
CHOOSE(MATCH(Q14,{"Baja";"Media";"Alta"},0),1,2,3),
CHOOSE(MATCH(T14,{"Baja";"Media";"Alta"},0),1,2,3),
CHOOSE(MATCH(W14,{"Baja";"Media";"Alta"},0),1,2,3),
CHOOSE(MATCH(AB14,{"Baja";"Media";"Alta"},0),1,2,3),
CHOOSE(MATCH(AD14,{"Baja";"Media";"Alta"},0),1,2,3),
CHOOSE(MATCH(AI14,{"Baja";"Media";"Alta"},0),1,2,3),
CHOOSE(MATCH(AK14,{"Baja";"Media";"Alta"},0),1,2,3),
CHOOSE(MATCH(AM14,{"Baja";"Media";"Alta"},0),1,2,3)),0)</f>
        <v>10</v>
      </c>
      <c r="AO14" s="67" t="str">
        <f t="shared" si="0"/>
        <v>Bajo</v>
      </c>
      <c r="AP14" s="18"/>
      <c r="AQ14" s="18"/>
      <c r="AR14" s="165" t="e">
        <f>VLOOKUP(A14,#REF!,2,FALSE)</f>
        <v>#REF!</v>
      </c>
      <c r="AS14" s="93" t="s">
        <v>415</v>
      </c>
      <c r="AT14" s="142" t="s">
        <v>416</v>
      </c>
      <c r="AU14" s="98" t="s">
        <v>417</v>
      </c>
      <c r="AV14" s="34">
        <v>1</v>
      </c>
      <c r="AW14" s="95" t="s">
        <v>418</v>
      </c>
    </row>
    <row r="15" spans="1:50" ht="48">
      <c r="A15" s="11" t="s">
        <v>419</v>
      </c>
      <c r="B15" s="11" t="str">
        <f t="shared" si="1"/>
        <v>tpr-msa-sp-orqclientes0026</v>
      </c>
      <c r="C15" s="57" t="s">
        <v>420</v>
      </c>
      <c r="D15" s="11" t="s">
        <v>59</v>
      </c>
      <c r="E15" s="114" t="str">
        <f>VLOOKUP(D15,Tribus!$A$1:$B$33,2,FALSE)</f>
        <v>tpr</v>
      </c>
      <c r="F15" s="12" t="s">
        <v>237</v>
      </c>
      <c r="G15" s="12" t="s">
        <v>246</v>
      </c>
      <c r="H15" s="12" t="s">
        <v>239</v>
      </c>
      <c r="I15" s="151" t="s">
        <v>240</v>
      </c>
      <c r="J15" s="19" t="s">
        <v>421</v>
      </c>
      <c r="K15" s="19" t="s">
        <v>237</v>
      </c>
      <c r="L15" s="19" t="s">
        <v>241</v>
      </c>
      <c r="M15" s="15">
        <v>2</v>
      </c>
      <c r="N15" s="14" t="s">
        <v>149</v>
      </c>
      <c r="O15" s="19" t="s">
        <v>422</v>
      </c>
      <c r="P15" s="15">
        <v>1</v>
      </c>
      <c r="Q15" s="14" t="s">
        <v>148</v>
      </c>
      <c r="R15" s="15" t="s">
        <v>242</v>
      </c>
      <c r="S15" s="15">
        <v>0</v>
      </c>
      <c r="T15" s="14" t="s">
        <v>148</v>
      </c>
      <c r="U15" s="84" t="s">
        <v>242</v>
      </c>
      <c r="V15" s="15"/>
      <c r="W15" s="14" t="s">
        <v>148</v>
      </c>
      <c r="X15" s="21">
        <v>516</v>
      </c>
      <c r="Y15" s="19" t="s">
        <v>423</v>
      </c>
      <c r="Z15" s="19"/>
      <c r="AA15" s="19"/>
      <c r="AB15" s="14" t="s">
        <v>148</v>
      </c>
      <c r="AC15" s="13" t="s">
        <v>255</v>
      </c>
      <c r="AD15" s="14" t="s">
        <v>148</v>
      </c>
      <c r="AE15" s="19" t="s">
        <v>366</v>
      </c>
      <c r="AF15" s="23"/>
      <c r="AG15" s="23" t="s">
        <v>367</v>
      </c>
      <c r="AH15" s="15">
        <v>3</v>
      </c>
      <c r="AI15" s="14" t="s">
        <v>149</v>
      </c>
      <c r="AJ15" s="15" t="s">
        <v>171</v>
      </c>
      <c r="AK15" s="14" t="s">
        <v>148</v>
      </c>
      <c r="AL15" s="39" t="s">
        <v>424</v>
      </c>
      <c r="AM15" s="14" t="s">
        <v>148</v>
      </c>
      <c r="AN15" s="141">
        <f>IFERROR(SUM(CHOOSE(MATCH(N15,{"Baja";"Media";"Alta"},0),1,2,3),
CHOOSE(MATCH(Q15,{"Baja";"Media";"Alta"},0),1,2,3),
CHOOSE(MATCH(T15,{"Baja";"Media";"Alta"},0),1,2,3),
CHOOSE(MATCH(W15,{"Baja";"Media";"Alta"},0),1,2,3),
CHOOSE(MATCH(AB15,{"Baja";"Media";"Alta"},0),1,2,3),
CHOOSE(MATCH(AD15,{"Baja";"Media";"Alta"},0),1,2,3),
CHOOSE(MATCH(AI15,{"Baja";"Media";"Alta"},0),1,2,3),
CHOOSE(MATCH(AK15,{"Baja";"Media";"Alta"},0),1,2,3),
CHOOSE(MATCH(AM15,{"Baja";"Media";"Alta"},0),1,2,3)),0)</f>
        <v>11</v>
      </c>
      <c r="AO15" s="67" t="str">
        <f t="shared" si="0"/>
        <v>Bajo</v>
      </c>
      <c r="AP15" s="18"/>
      <c r="AQ15" s="18"/>
      <c r="AR15" s="165" t="e">
        <f>VLOOKUP(A15,#REF!,2,FALSE)</f>
        <v>#REF!</v>
      </c>
      <c r="AS15" s="101" t="s">
        <v>425</v>
      </c>
      <c r="AT15" s="101" t="s">
        <v>426</v>
      </c>
      <c r="AU15" s="87" t="s">
        <v>427</v>
      </c>
      <c r="AV15" s="34">
        <v>1</v>
      </c>
      <c r="AW15" s="95" t="s">
        <v>428</v>
      </c>
    </row>
    <row r="16" spans="1:50" ht="64">
      <c r="A16" s="11" t="s">
        <v>429</v>
      </c>
      <c r="B16" s="11" t="str">
        <f t="shared" si="1"/>
        <v>tmp-msa-sp-orqclientes0027</v>
      </c>
      <c r="C16" s="57" t="s">
        <v>430</v>
      </c>
      <c r="D16" s="11" t="s">
        <v>57</v>
      </c>
      <c r="E16" s="114" t="str">
        <f>VLOOKUP(D16,Tribus!$A$1:$B$33,2,FALSE)</f>
        <v>tmp</v>
      </c>
      <c r="F16" s="12" t="s">
        <v>237</v>
      </c>
      <c r="G16" s="12" t="s">
        <v>246</v>
      </c>
      <c r="H16" s="12" t="s">
        <v>239</v>
      </c>
      <c r="I16" s="151" t="s">
        <v>240</v>
      </c>
      <c r="J16" s="19" t="s">
        <v>431</v>
      </c>
      <c r="K16" s="19" t="s">
        <v>237</v>
      </c>
      <c r="L16" s="19" t="s">
        <v>241</v>
      </c>
      <c r="M16" s="15">
        <v>1</v>
      </c>
      <c r="N16" s="14" t="s">
        <v>148</v>
      </c>
      <c r="O16" s="15" t="s">
        <v>364</v>
      </c>
      <c r="P16" s="15">
        <v>1</v>
      </c>
      <c r="Q16" s="14" t="s">
        <v>148</v>
      </c>
      <c r="R16" s="15" t="s">
        <v>242</v>
      </c>
      <c r="S16" s="15">
        <v>0</v>
      </c>
      <c r="T16" s="14" t="s">
        <v>148</v>
      </c>
      <c r="U16" s="38" t="s">
        <v>242</v>
      </c>
      <c r="V16" s="38"/>
      <c r="W16" s="14" t="s">
        <v>148</v>
      </c>
      <c r="X16" s="21">
        <v>862</v>
      </c>
      <c r="Y16" s="19" t="s">
        <v>432</v>
      </c>
      <c r="Z16" s="19"/>
      <c r="AA16" s="19"/>
      <c r="AB16" s="14" t="s">
        <v>148</v>
      </c>
      <c r="AC16" s="13" t="s">
        <v>255</v>
      </c>
      <c r="AD16" s="14" t="s">
        <v>148</v>
      </c>
      <c r="AE16" s="19" t="s">
        <v>366</v>
      </c>
      <c r="AF16" s="15" t="s">
        <v>171</v>
      </c>
      <c r="AG16" s="19" t="s">
        <v>367</v>
      </c>
      <c r="AH16" s="15">
        <v>3</v>
      </c>
      <c r="AI16" s="14" t="s">
        <v>149</v>
      </c>
      <c r="AJ16" s="15" t="s">
        <v>171</v>
      </c>
      <c r="AK16" s="14" t="s">
        <v>148</v>
      </c>
      <c r="AL16" s="39" t="s">
        <v>433</v>
      </c>
      <c r="AM16" s="14" t="s">
        <v>148</v>
      </c>
      <c r="AN16" s="141">
        <f>IFERROR(SUM(CHOOSE(MATCH(N16,{"Baja";"Media";"Alta"},0),1,2,3),
CHOOSE(MATCH(Q16,{"Baja";"Media";"Alta"},0),1,2,3),
CHOOSE(MATCH(T16,{"Baja";"Media";"Alta"},0),1,2,3),
CHOOSE(MATCH(W16,{"Baja";"Media";"Alta"},0),1,2,3),
CHOOSE(MATCH(AB16,{"Baja";"Media";"Alta"},0),1,2,3),
CHOOSE(MATCH(AD16,{"Baja";"Media";"Alta"},0),1,2,3),
CHOOSE(MATCH(AI16,{"Baja";"Media";"Alta"},0),1,2,3),
CHOOSE(MATCH(AK16,{"Baja";"Media";"Alta"},0),1,2,3),
CHOOSE(MATCH(AM16,{"Baja";"Media";"Alta"},0),1,2,3)),0)</f>
        <v>10</v>
      </c>
      <c r="AO16" s="67" t="str">
        <f t="shared" si="0"/>
        <v>Bajo</v>
      </c>
      <c r="AP16" s="18"/>
      <c r="AQ16" s="18"/>
      <c r="AR16" s="165" t="e">
        <f>VLOOKUP(A16,#REF!,2,FALSE)</f>
        <v>#REF!</v>
      </c>
      <c r="AS16" s="94" t="s">
        <v>434</v>
      </c>
      <c r="AT16" s="94" t="s">
        <v>435</v>
      </c>
      <c r="AU16" s="94" t="s">
        <v>436</v>
      </c>
      <c r="AV16" s="34">
        <v>1</v>
      </c>
      <c r="AW16" s="95" t="s">
        <v>437</v>
      </c>
    </row>
    <row r="17" spans="1:51" ht="64">
      <c r="A17" s="81" t="s">
        <v>438</v>
      </c>
      <c r="B17" s="11" t="str">
        <f t="shared" si="1"/>
        <v>tnd-msa-sp-orqclientes0028</v>
      </c>
      <c r="C17" s="57" t="s">
        <v>439</v>
      </c>
      <c r="D17" t="s">
        <v>61</v>
      </c>
      <c r="E17" s="114" t="str">
        <f>VLOOKUP(D17,Tribus!$A$1:$B$33,2,FALSE)</f>
        <v>tnd</v>
      </c>
      <c r="F17" s="12" t="s">
        <v>237</v>
      </c>
      <c r="G17" s="12" t="s">
        <v>246</v>
      </c>
      <c r="H17" s="12" t="s">
        <v>239</v>
      </c>
      <c r="I17" s="151" t="s">
        <v>240</v>
      </c>
      <c r="J17" s="19" t="s">
        <v>440</v>
      </c>
      <c r="K17" s="19" t="s">
        <v>441</v>
      </c>
      <c r="L17" s="19" t="s">
        <v>241</v>
      </c>
      <c r="M17" s="15">
        <v>2</v>
      </c>
      <c r="N17" s="14" t="s">
        <v>149</v>
      </c>
      <c r="O17" s="19" t="s">
        <v>442</v>
      </c>
      <c r="P17" s="15">
        <v>2</v>
      </c>
      <c r="Q17" s="14" t="s">
        <v>149</v>
      </c>
      <c r="R17" s="15">
        <v>0</v>
      </c>
      <c r="S17" s="15">
        <v>0</v>
      </c>
      <c r="T17" s="14" t="s">
        <v>148</v>
      </c>
      <c r="U17" s="84" t="s">
        <v>242</v>
      </c>
      <c r="V17" s="15"/>
      <c r="W17" s="14" t="s">
        <v>148</v>
      </c>
      <c r="X17" s="21">
        <v>4</v>
      </c>
      <c r="Y17" s="19" t="s">
        <v>443</v>
      </c>
      <c r="Z17" s="19"/>
      <c r="AA17" s="19"/>
      <c r="AB17" s="14" t="s">
        <v>148</v>
      </c>
      <c r="AC17" s="13" t="s">
        <v>255</v>
      </c>
      <c r="AD17" s="14" t="s">
        <v>148</v>
      </c>
      <c r="AE17" s="19" t="s">
        <v>444</v>
      </c>
      <c r="AF17" s="19" t="s">
        <v>445</v>
      </c>
      <c r="AG17" s="19" t="s">
        <v>446</v>
      </c>
      <c r="AH17" s="15">
        <v>2</v>
      </c>
      <c r="AI17" s="14" t="s">
        <v>149</v>
      </c>
      <c r="AJ17" s="15" t="s">
        <v>171</v>
      </c>
      <c r="AK17" s="14" t="s">
        <v>148</v>
      </c>
      <c r="AL17" s="39" t="s">
        <v>447</v>
      </c>
      <c r="AM17" s="14" t="s">
        <v>148</v>
      </c>
      <c r="AN17" s="141">
        <f>IFERROR(SUM(CHOOSE(MATCH(N17,{"Baja";"Media";"Alta"},0),1,2,3),
CHOOSE(MATCH(Q17,{"Baja";"Media";"Alta"},0),1,2,3),
CHOOSE(MATCH(T17,{"Baja";"Media";"Alta"},0),1,2,3),
CHOOSE(MATCH(W17,{"Baja";"Media";"Alta"},0),1,2,3),
CHOOSE(MATCH(AB17,{"Baja";"Media";"Alta"},0),1,2,3),
CHOOSE(MATCH(AD17,{"Baja";"Media";"Alta"},0),1,2,3),
CHOOSE(MATCH(AI17,{"Baja";"Media";"Alta"},0),1,2,3),
CHOOSE(MATCH(AK17,{"Baja";"Media";"Alta"},0),1,2,3),
CHOOSE(MATCH(AM17,{"Baja";"Media";"Alta"},0),1,2,3)),0)</f>
        <v>12</v>
      </c>
      <c r="AO17" s="67" t="str">
        <f t="shared" si="0"/>
        <v>Bajo</v>
      </c>
      <c r="AP17" s="18"/>
      <c r="AQ17" s="18" t="s">
        <v>448</v>
      </c>
      <c r="AR17" s="165" t="e">
        <f>VLOOKUP(A17,#REF!,2,FALSE)</f>
        <v>#REF!</v>
      </c>
      <c r="AS17" s="124" t="s">
        <v>449</v>
      </c>
      <c r="AT17" s="94" t="s">
        <v>450</v>
      </c>
      <c r="AU17" s="87" t="s">
        <v>451</v>
      </c>
      <c r="AV17" s="34">
        <v>1</v>
      </c>
      <c r="AW17" s="95" t="s">
        <v>452</v>
      </c>
    </row>
    <row r="18" spans="1:51" ht="144">
      <c r="A18" s="66" t="s">
        <v>453</v>
      </c>
      <c r="B18" s="11" t="str">
        <f t="shared" si="1"/>
        <v>tnd-msa-sp-orqclientes0029</v>
      </c>
      <c r="C18" s="57" t="s">
        <v>454</v>
      </c>
      <c r="D18" s="92" t="s">
        <v>61</v>
      </c>
      <c r="E18" s="114" t="str">
        <f>VLOOKUP(D18,Tribus!$A$1:$B$33,2,FALSE)</f>
        <v>tnd</v>
      </c>
      <c r="F18" s="12" t="s">
        <v>237</v>
      </c>
      <c r="G18" s="12" t="s">
        <v>246</v>
      </c>
      <c r="H18" s="12" t="s">
        <v>239</v>
      </c>
      <c r="I18" s="151" t="s">
        <v>240</v>
      </c>
      <c r="J18" s="19" t="s">
        <v>455</v>
      </c>
      <c r="K18" s="19" t="s">
        <v>237</v>
      </c>
      <c r="L18" s="19" t="s">
        <v>241</v>
      </c>
      <c r="M18" s="15">
        <v>7</v>
      </c>
      <c r="N18" s="14" t="s">
        <v>150</v>
      </c>
      <c r="O18" s="19" t="s">
        <v>422</v>
      </c>
      <c r="P18" s="15">
        <v>1</v>
      </c>
      <c r="Q18" s="14" t="s">
        <v>148</v>
      </c>
      <c r="R18" s="15" t="s">
        <v>456</v>
      </c>
      <c r="S18" s="15">
        <v>0</v>
      </c>
      <c r="T18" s="14" t="s">
        <v>148</v>
      </c>
      <c r="U18" s="84" t="s">
        <v>242</v>
      </c>
      <c r="V18" s="15"/>
      <c r="W18" s="14" t="s">
        <v>148</v>
      </c>
      <c r="X18" s="21">
        <v>1164</v>
      </c>
      <c r="Y18" s="19" t="s">
        <v>457</v>
      </c>
      <c r="Z18" s="19"/>
      <c r="AA18" s="19"/>
      <c r="AB18" s="14" t="s">
        <v>148</v>
      </c>
      <c r="AC18" s="13" t="s">
        <v>255</v>
      </c>
      <c r="AD18" s="14" t="s">
        <v>148</v>
      </c>
      <c r="AE18" s="19" t="s">
        <v>366</v>
      </c>
      <c r="AF18" s="19"/>
      <c r="AG18" s="19" t="s">
        <v>388</v>
      </c>
      <c r="AH18" s="15">
        <v>4</v>
      </c>
      <c r="AI18" s="14" t="s">
        <v>149</v>
      </c>
      <c r="AJ18" s="15" t="s">
        <v>456</v>
      </c>
      <c r="AK18" s="14" t="s">
        <v>148</v>
      </c>
      <c r="AL18" s="39" t="s">
        <v>458</v>
      </c>
      <c r="AM18" s="14" t="s">
        <v>148</v>
      </c>
      <c r="AN18" s="141">
        <f>IFERROR(SUM(CHOOSE(MATCH(N18,{"Baja";"Media";"Alta"},0),1,2,3),
CHOOSE(MATCH(Q18,{"Baja";"Media";"Alta"},0),1,2,3),
CHOOSE(MATCH(T18,{"Baja";"Media";"Alta"},0),1,2,3),
CHOOSE(MATCH(W18,{"Baja";"Media";"Alta"},0),1,2,3),
CHOOSE(MATCH(AB18,{"Baja";"Media";"Alta"},0),1,2,3),
CHOOSE(MATCH(AD18,{"Baja";"Media";"Alta"},0),1,2,3),
CHOOSE(MATCH(AI18,{"Baja";"Media";"Alta"},0),1,2,3),
CHOOSE(MATCH(AK18,{"Baja";"Media";"Alta"},0),1,2,3),
CHOOSE(MATCH(AM18,{"Baja";"Media";"Alta"},0),1,2,3)),0)</f>
        <v>12</v>
      </c>
      <c r="AO18" s="67" t="str">
        <f t="shared" si="0"/>
        <v>Bajo</v>
      </c>
      <c r="AP18" s="18"/>
      <c r="AQ18" s="18"/>
      <c r="AR18" s="165" t="e">
        <f>VLOOKUP(A18,#REF!,2,FALSE)</f>
        <v>#REF!</v>
      </c>
      <c r="AS18" s="57" t="s">
        <v>459</v>
      </c>
      <c r="AT18" s="94" t="s">
        <v>460</v>
      </c>
      <c r="AU18" s="57" t="s">
        <v>461</v>
      </c>
      <c r="AV18" s="34">
        <v>1</v>
      </c>
      <c r="AW18" s="95" t="s">
        <v>462</v>
      </c>
    </row>
    <row r="19" spans="1:51" ht="240">
      <c r="A19" s="11" t="s">
        <v>463</v>
      </c>
      <c r="B19" s="11" t="str">
        <f t="shared" si="1"/>
        <v>tnd-msa-sp-orqclientes0035</v>
      </c>
      <c r="C19" s="57" t="s">
        <v>464</v>
      </c>
      <c r="D19" s="11" t="s">
        <v>61</v>
      </c>
      <c r="E19" s="114" t="str">
        <f>VLOOKUP(D19,Tribus!$A$1:$B$33,2,FALSE)</f>
        <v>tnd</v>
      </c>
      <c r="F19" s="12" t="s">
        <v>237</v>
      </c>
      <c r="G19" s="12" t="s">
        <v>246</v>
      </c>
      <c r="H19" s="12" t="s">
        <v>239</v>
      </c>
      <c r="I19" s="151" t="s">
        <v>240</v>
      </c>
      <c r="J19" s="19" t="s">
        <v>465</v>
      </c>
      <c r="K19" s="19" t="s">
        <v>248</v>
      </c>
      <c r="L19" s="19" t="s">
        <v>241</v>
      </c>
      <c r="M19" s="15">
        <v>14</v>
      </c>
      <c r="N19" s="14" t="s">
        <v>150</v>
      </c>
      <c r="O19" s="19" t="s">
        <v>325</v>
      </c>
      <c r="P19" s="15">
        <v>2</v>
      </c>
      <c r="Q19" s="14" t="s">
        <v>149</v>
      </c>
      <c r="R19" s="15" t="s">
        <v>242</v>
      </c>
      <c r="S19" s="15">
        <v>0</v>
      </c>
      <c r="T19" s="14" t="s">
        <v>148</v>
      </c>
      <c r="U19" s="147" t="s">
        <v>466</v>
      </c>
      <c r="V19" s="15" t="s">
        <v>327</v>
      </c>
      <c r="W19" s="14" t="s">
        <v>149</v>
      </c>
      <c r="X19" s="21">
        <v>64</v>
      </c>
      <c r="Y19" s="19" t="s">
        <v>467</v>
      </c>
      <c r="Z19" s="19"/>
      <c r="AA19" s="19"/>
      <c r="AB19" s="14" t="s">
        <v>148</v>
      </c>
      <c r="AC19" s="13" t="s">
        <v>255</v>
      </c>
      <c r="AD19" s="14" t="s">
        <v>148</v>
      </c>
      <c r="AE19" s="19" t="s">
        <v>468</v>
      </c>
      <c r="AF19" s="19">
        <v>0</v>
      </c>
      <c r="AG19" s="19" t="s">
        <v>469</v>
      </c>
      <c r="AH19" s="15">
        <v>3</v>
      </c>
      <c r="AI19" s="14" t="s">
        <v>149</v>
      </c>
      <c r="AJ19" s="15" t="s">
        <v>332</v>
      </c>
      <c r="AK19" s="14" t="s">
        <v>148</v>
      </c>
      <c r="AL19" s="39" t="s">
        <v>470</v>
      </c>
      <c r="AM19" s="14" t="s">
        <v>148</v>
      </c>
      <c r="AN19" s="141">
        <f>IFERROR(SUM(CHOOSE(MATCH(N19,{"Baja";"Media";"Alta"},0),1,2,3),
CHOOSE(MATCH(Q19,{"Baja";"Media";"Alta"},0),1,2,3),
CHOOSE(MATCH(T19,{"Baja";"Media";"Alta"},0),1,2,3),
CHOOSE(MATCH(W19,{"Baja";"Media";"Alta"},0),1,2,3),
CHOOSE(MATCH(AB19,{"Baja";"Media";"Alta"},0),1,2,3),
CHOOSE(MATCH(AD19,{"Baja";"Media";"Alta"},0),1,2,3),
CHOOSE(MATCH(AI19,{"Baja";"Media";"Alta"},0),1,2,3),
CHOOSE(MATCH(AK19,{"Baja";"Media";"Alta"},0),1,2,3),
CHOOSE(MATCH(AM19,{"Baja";"Media";"Alta"},0),1,2,3)),0)</f>
        <v>14</v>
      </c>
      <c r="AO19" s="67" t="str">
        <f t="shared" si="0"/>
        <v>Bajo</v>
      </c>
      <c r="AP19" s="18"/>
      <c r="AQ19" s="18"/>
      <c r="AR19" s="165" t="e">
        <f>VLOOKUP(A19,#REF!,2,FALSE)</f>
        <v>#REF!</v>
      </c>
      <c r="AS19" s="87" t="s">
        <v>471</v>
      </c>
      <c r="AT19" s="94" t="s">
        <v>472</v>
      </c>
      <c r="AU19" s="87" t="s">
        <v>473</v>
      </c>
      <c r="AV19" s="34">
        <v>1</v>
      </c>
      <c r="AW19" s="95" t="s">
        <v>474</v>
      </c>
    </row>
    <row r="20" spans="1:51" ht="409.6">
      <c r="A20" s="11" t="s">
        <v>475</v>
      </c>
      <c r="B20" s="11" t="str">
        <f t="shared" si="1"/>
        <v>tnd-msa-sp-orqclientes0036</v>
      </c>
      <c r="C20" s="57" t="s">
        <v>476</v>
      </c>
      <c r="D20" s="11" t="s">
        <v>61</v>
      </c>
      <c r="E20" s="114" t="str">
        <f>VLOOKUP(D20,Tribus!$A$1:$B$33,2,FALSE)</f>
        <v>tnd</v>
      </c>
      <c r="F20" s="12" t="s">
        <v>237</v>
      </c>
      <c r="G20" s="12" t="s">
        <v>246</v>
      </c>
      <c r="H20" s="12" t="s">
        <v>239</v>
      </c>
      <c r="I20" s="151" t="s">
        <v>240</v>
      </c>
      <c r="J20" s="19" t="s">
        <v>477</v>
      </c>
      <c r="K20" s="19" t="s">
        <v>248</v>
      </c>
      <c r="L20" s="19" t="s">
        <v>241</v>
      </c>
      <c r="M20" s="15">
        <v>6</v>
      </c>
      <c r="N20" s="14" t="s">
        <v>150</v>
      </c>
      <c r="O20" s="19" t="s">
        <v>250</v>
      </c>
      <c r="P20" s="10">
        <v>2</v>
      </c>
      <c r="Q20" s="14" t="s">
        <v>149</v>
      </c>
      <c r="R20" s="15" t="s">
        <v>242</v>
      </c>
      <c r="S20" s="15">
        <v>0</v>
      </c>
      <c r="T20" s="14" t="s">
        <v>148</v>
      </c>
      <c r="U20" s="147" t="s">
        <v>478</v>
      </c>
      <c r="V20" s="15" t="s">
        <v>327</v>
      </c>
      <c r="W20" s="14" t="s">
        <v>149</v>
      </c>
      <c r="X20" s="21" t="s">
        <v>479</v>
      </c>
      <c r="Y20" s="19" t="s">
        <v>480</v>
      </c>
      <c r="Z20" s="19"/>
      <c r="AA20" s="19"/>
      <c r="AB20" s="14" t="s">
        <v>148</v>
      </c>
      <c r="AC20" s="13" t="s">
        <v>255</v>
      </c>
      <c r="AD20" s="14" t="s">
        <v>148</v>
      </c>
      <c r="AE20" s="19" t="s">
        <v>481</v>
      </c>
      <c r="AF20" s="19" t="s">
        <v>171</v>
      </c>
      <c r="AG20" s="19" t="s">
        <v>482</v>
      </c>
      <c r="AH20" s="15">
        <v>3</v>
      </c>
      <c r="AI20" s="14" t="s">
        <v>148</v>
      </c>
      <c r="AJ20" s="15" t="s">
        <v>171</v>
      </c>
      <c r="AK20" s="7" t="s">
        <v>148</v>
      </c>
      <c r="AL20" s="39" t="s">
        <v>483</v>
      </c>
      <c r="AM20" s="14" t="s">
        <v>148</v>
      </c>
      <c r="AN20" s="141">
        <f>IFERROR(SUM(CHOOSE(MATCH(N20,{"Baja";"Media";"Alta"},0),1,2,3),
CHOOSE(MATCH(Q20,{"Baja";"Media";"Alta"},0),1,2,3),
CHOOSE(MATCH(T20,{"Baja";"Media";"Alta"},0),1,2,3),
CHOOSE(MATCH(W20,{"Baja";"Media";"Alta"},0),1,2,3),
CHOOSE(MATCH(AB20,{"Baja";"Media";"Alta"},0),1,2,3),
CHOOSE(MATCH(AD20,{"Baja";"Media";"Alta"},0),1,2,3),
CHOOSE(MATCH(AI20,{"Baja";"Media";"Alta"},0),1,2,3),
CHOOSE(MATCH(AK20,{"Baja";"Media";"Alta"},0),1,2,3),
CHOOSE(MATCH(AM20,{"Baja";"Media";"Alta"},0),1,2,3)),0)</f>
        <v>13</v>
      </c>
      <c r="AO20" s="67" t="str">
        <f t="shared" si="0"/>
        <v>Bajo</v>
      </c>
      <c r="AP20" s="18"/>
      <c r="AQ20" s="18"/>
      <c r="AR20" s="165" t="e">
        <f>VLOOKUP(A20,#REF!,2,FALSE)</f>
        <v>#REF!</v>
      </c>
      <c r="AS20" s="87" t="s">
        <v>484</v>
      </c>
      <c r="AT20" s="94" t="s">
        <v>485</v>
      </c>
      <c r="AU20" s="98" t="s">
        <v>486</v>
      </c>
      <c r="AV20" s="34">
        <v>1</v>
      </c>
      <c r="AW20" s="95" t="s">
        <v>487</v>
      </c>
    </row>
    <row r="21" spans="1:51" ht="144">
      <c r="A21" s="11" t="s">
        <v>488</v>
      </c>
      <c r="B21" s="11" t="str">
        <f t="shared" si="1"/>
        <v>tnd-msa-sp-orqclientes0037</v>
      </c>
      <c r="C21" s="57" t="s">
        <v>489</v>
      </c>
      <c r="D21" s="11" t="s">
        <v>61</v>
      </c>
      <c r="E21" s="114" t="str">
        <f>VLOOKUP(D21,Tribus!$A$1:$B$33,2,FALSE)</f>
        <v>tnd</v>
      </c>
      <c r="F21" s="12" t="s">
        <v>237</v>
      </c>
      <c r="G21" s="12" t="s">
        <v>246</v>
      </c>
      <c r="H21" s="12" t="s">
        <v>239</v>
      </c>
      <c r="I21" s="151" t="s">
        <v>240</v>
      </c>
      <c r="J21" s="19" t="s">
        <v>490</v>
      </c>
      <c r="K21" s="19" t="s">
        <v>491</v>
      </c>
      <c r="L21" s="19" t="s">
        <v>241</v>
      </c>
      <c r="M21" s="15">
        <v>2</v>
      </c>
      <c r="N21" s="14" t="s">
        <v>149</v>
      </c>
      <c r="O21" s="84" t="s">
        <v>101</v>
      </c>
      <c r="P21" s="15">
        <v>1</v>
      </c>
      <c r="Q21" s="14" t="s">
        <v>148</v>
      </c>
      <c r="R21" s="15" t="s">
        <v>242</v>
      </c>
      <c r="S21" s="15">
        <v>0</v>
      </c>
      <c r="T21" s="14" t="s">
        <v>148</v>
      </c>
      <c r="U21" s="38" t="s">
        <v>242</v>
      </c>
      <c r="V21" s="38" t="s">
        <v>492</v>
      </c>
      <c r="W21" s="14" t="s">
        <v>148</v>
      </c>
      <c r="X21" s="147" t="s">
        <v>493</v>
      </c>
      <c r="Y21" s="147" t="s">
        <v>494</v>
      </c>
      <c r="Z21" s="147"/>
      <c r="AA21" s="147"/>
      <c r="AB21" s="14" t="s">
        <v>148</v>
      </c>
      <c r="AC21" s="13" t="s">
        <v>255</v>
      </c>
      <c r="AD21" s="14" t="s">
        <v>148</v>
      </c>
      <c r="AE21" s="19" t="s">
        <v>51</v>
      </c>
      <c r="AF21" s="19" t="s">
        <v>495</v>
      </c>
      <c r="AG21" s="19" t="s">
        <v>496</v>
      </c>
      <c r="AH21" s="15">
        <v>1</v>
      </c>
      <c r="AI21" s="14" t="s">
        <v>148</v>
      </c>
      <c r="AJ21" s="15">
        <v>0</v>
      </c>
      <c r="AK21" s="14" t="s">
        <v>148</v>
      </c>
      <c r="AL21" s="39" t="s">
        <v>497</v>
      </c>
      <c r="AM21" s="14" t="s">
        <v>148</v>
      </c>
      <c r="AN21" s="141">
        <f>IFERROR(SUM(CHOOSE(MATCH(N21,{"Baja";"Media";"Alta"},0),1,2,3),
CHOOSE(MATCH(Q21,{"Baja";"Media";"Alta"},0),1,2,3),
CHOOSE(MATCH(T21,{"Baja";"Media";"Alta"},0),1,2,3),
CHOOSE(MATCH(W21,{"Baja";"Media";"Alta"},0),1,2,3),
CHOOSE(MATCH(AB21,{"Baja";"Media";"Alta"},0),1,2,3),
CHOOSE(MATCH(AD21,{"Baja";"Media";"Alta"},0),1,2,3),
CHOOSE(MATCH(AI21,{"Baja";"Media";"Alta"},0),1,2,3),
CHOOSE(MATCH(AK21,{"Baja";"Media";"Alta"},0),1,2,3),
CHOOSE(MATCH(AM21,{"Baja";"Media";"Alta"},0),1,2,3)),0)</f>
        <v>10</v>
      </c>
      <c r="AO21" s="67" t="str">
        <f t="shared" si="0"/>
        <v>Bajo</v>
      </c>
      <c r="AP21" s="18"/>
      <c r="AQ21" s="18"/>
      <c r="AR21" s="165" t="e">
        <f>VLOOKUP(A21,#REF!,2,FALSE)</f>
        <v>#REF!</v>
      </c>
      <c r="AS21" s="87" t="s">
        <v>498</v>
      </c>
      <c r="AT21" s="124" t="s">
        <v>499</v>
      </c>
      <c r="AU21" s="124" t="s">
        <v>500</v>
      </c>
      <c r="AV21" s="34">
        <v>1</v>
      </c>
      <c r="AW21" s="95" t="s">
        <v>501</v>
      </c>
    </row>
    <row r="22" spans="1:51" ht="192">
      <c r="A22" s="11" t="s">
        <v>502</v>
      </c>
      <c r="B22" s="11" t="str">
        <f t="shared" si="1"/>
        <v>tnd-msa-sp-orqclientes0038</v>
      </c>
      <c r="C22" s="57" t="s">
        <v>503</v>
      </c>
      <c r="D22" s="92" t="s">
        <v>61</v>
      </c>
      <c r="E22" s="114" t="str">
        <f>VLOOKUP(D22,Tribus!$A$1:$B$33,2,FALSE)</f>
        <v>tnd</v>
      </c>
      <c r="F22" s="12" t="s">
        <v>237</v>
      </c>
      <c r="G22" s="12" t="s">
        <v>246</v>
      </c>
      <c r="H22" s="12" t="s">
        <v>239</v>
      </c>
      <c r="I22" s="151" t="s">
        <v>240</v>
      </c>
      <c r="J22" s="19" t="s">
        <v>504</v>
      </c>
      <c r="K22" s="19" t="s">
        <v>491</v>
      </c>
      <c r="L22" s="19" t="s">
        <v>241</v>
      </c>
      <c r="M22" s="15">
        <v>12</v>
      </c>
      <c r="N22" s="14" t="s">
        <v>150</v>
      </c>
      <c r="O22" s="15" t="s">
        <v>505</v>
      </c>
      <c r="P22" s="15">
        <v>1</v>
      </c>
      <c r="Q22" s="14" t="s">
        <v>148</v>
      </c>
      <c r="R22" s="15" t="s">
        <v>242</v>
      </c>
      <c r="S22" s="15">
        <v>0</v>
      </c>
      <c r="T22" s="14" t="s">
        <v>148</v>
      </c>
      <c r="U22" s="84" t="s">
        <v>242</v>
      </c>
      <c r="V22" s="15"/>
      <c r="W22" s="14" t="s">
        <v>148</v>
      </c>
      <c r="X22" s="21" t="s">
        <v>506</v>
      </c>
      <c r="Y22" s="19" t="s">
        <v>507</v>
      </c>
      <c r="Z22" s="19"/>
      <c r="AA22" s="19"/>
      <c r="AB22" s="14" t="s">
        <v>148</v>
      </c>
      <c r="AC22" s="13" t="s">
        <v>255</v>
      </c>
      <c r="AD22" s="14" t="s">
        <v>148</v>
      </c>
      <c r="AE22" s="19" t="s">
        <v>59</v>
      </c>
      <c r="AF22" s="19" t="s">
        <v>508</v>
      </c>
      <c r="AG22" s="19"/>
      <c r="AH22" s="15">
        <v>12</v>
      </c>
      <c r="AI22" s="14" t="s">
        <v>150</v>
      </c>
      <c r="AJ22" s="15" t="s">
        <v>242</v>
      </c>
      <c r="AK22" s="14" t="s">
        <v>148</v>
      </c>
      <c r="AL22" s="39" t="s">
        <v>509</v>
      </c>
      <c r="AM22" s="14" t="s">
        <v>148</v>
      </c>
      <c r="AN22" s="141">
        <f>IFERROR(SUM(CHOOSE(MATCH(N22,{"Baja";"Media";"Alta"},0),1,2,3),
CHOOSE(MATCH(Q22,{"Baja";"Media";"Alta"},0),1,2,3),
CHOOSE(MATCH(T22,{"Baja";"Media";"Alta"},0),1,2,3),
CHOOSE(MATCH(W22,{"Baja";"Media";"Alta"},0),1,2,3),
CHOOSE(MATCH(AB22,{"Baja";"Media";"Alta"},0),1,2,3),
CHOOSE(MATCH(AD22,{"Baja";"Media";"Alta"},0),1,2,3),
CHOOSE(MATCH(AI22,{"Baja";"Media";"Alta"},0),1,2,3),
CHOOSE(MATCH(AK22,{"Baja";"Media";"Alta"},0),1,2,3),
CHOOSE(MATCH(AM22,{"Baja";"Media";"Alta"},0),1,2,3)),0)</f>
        <v>13</v>
      </c>
      <c r="AO22" s="67" t="str">
        <f t="shared" si="0"/>
        <v>Bajo</v>
      </c>
      <c r="AP22" s="18"/>
      <c r="AQ22" s="18"/>
      <c r="AR22" s="165" t="e">
        <f>VLOOKUP(A22,#REF!,2,FALSE)</f>
        <v>#REF!</v>
      </c>
      <c r="AS22" s="87" t="s">
        <v>510</v>
      </c>
      <c r="AT22" s="94" t="s">
        <v>511</v>
      </c>
      <c r="AU22" s="87" t="s">
        <v>512</v>
      </c>
      <c r="AV22" s="34">
        <v>1</v>
      </c>
      <c r="AW22" s="96" t="s">
        <v>513</v>
      </c>
    </row>
    <row r="23" spans="1:51" s="83" customFormat="1" ht="78">
      <c r="A23" s="33" t="s">
        <v>514</v>
      </c>
      <c r="B23" s="16" t="str">
        <f t="shared" si="1"/>
        <v>tnd-msa-sp-orqclientes0040</v>
      </c>
      <c r="C23" s="45" t="s">
        <v>515</v>
      </c>
      <c r="D23" s="99" t="s">
        <v>61</v>
      </c>
      <c r="E23" s="34" t="str">
        <f>VLOOKUP(D23,Tribus!$A$1:$B$33,2,FALSE)</f>
        <v>tnd</v>
      </c>
      <c r="F23" s="35" t="s">
        <v>237</v>
      </c>
      <c r="G23" s="35" t="s">
        <v>246</v>
      </c>
      <c r="H23" s="35" t="s">
        <v>239</v>
      </c>
      <c r="I23" s="36" t="s">
        <v>240</v>
      </c>
      <c r="J23" s="153" t="s">
        <v>516</v>
      </c>
      <c r="K23" s="153" t="s">
        <v>491</v>
      </c>
      <c r="L23" s="19" t="s">
        <v>241</v>
      </c>
      <c r="M23" s="37">
        <v>6</v>
      </c>
      <c r="N23" s="47" t="s">
        <v>150</v>
      </c>
      <c r="O23" s="38" t="s">
        <v>101</v>
      </c>
      <c r="P23" s="37">
        <v>1</v>
      </c>
      <c r="Q23" s="47" t="s">
        <v>148</v>
      </c>
      <c r="R23" s="32" t="s">
        <v>242</v>
      </c>
      <c r="S23" s="37">
        <v>0</v>
      </c>
      <c r="T23" s="47" t="s">
        <v>148</v>
      </c>
      <c r="U23" s="38" t="s">
        <v>242</v>
      </c>
      <c r="V23" s="38"/>
      <c r="W23" s="70" t="s">
        <v>148</v>
      </c>
      <c r="X23" s="22">
        <v>1896</v>
      </c>
      <c r="Y23" s="22" t="s">
        <v>517</v>
      </c>
      <c r="Z23" s="22"/>
      <c r="AA23" s="22"/>
      <c r="AB23" s="70" t="s">
        <v>148</v>
      </c>
      <c r="AC23" s="86" t="s">
        <v>255</v>
      </c>
      <c r="AD23" s="47" t="s">
        <v>148</v>
      </c>
      <c r="AE23" s="22" t="s">
        <v>95</v>
      </c>
      <c r="AF23" s="22" t="s">
        <v>518</v>
      </c>
      <c r="AG23" s="22" t="s">
        <v>519</v>
      </c>
      <c r="AH23" s="37">
        <v>1</v>
      </c>
      <c r="AI23" s="47" t="s">
        <v>148</v>
      </c>
      <c r="AJ23" s="37" t="s">
        <v>171</v>
      </c>
      <c r="AK23" s="47" t="s">
        <v>148</v>
      </c>
      <c r="AL23" s="40" t="s">
        <v>520</v>
      </c>
      <c r="AM23" s="70" t="s">
        <v>148</v>
      </c>
      <c r="AN23" s="150">
        <f>IFERROR(SUM(CHOOSE(MATCH(N23,{"Baja";"Media";"Alta"},0),1,2,3),
CHOOSE(MATCH(Q23,{"Baja";"Media";"Alta"},0),1,2,3),
CHOOSE(MATCH(T23,{"Baja";"Media";"Alta"},0),1,2,3),
CHOOSE(MATCH(W23,{"Baja";"Media";"Alta"},0),1,2,3),
CHOOSE(MATCH(AB23,{"Baja";"Media";"Alta"},0),1,2,3),
CHOOSE(MATCH(AD23,{"Baja";"Media";"Alta"},0),1,2,3),
CHOOSE(MATCH(AI23,{"Baja";"Media";"Alta"},0),1,2,3),
CHOOSE(MATCH(AK23,{"Baja";"Media";"Alta"},0),1,2,3),
CHOOSE(MATCH(AM23,{"Baja";"Media";"Alta"},0),1,2,3)),0)</f>
        <v>11</v>
      </c>
      <c r="AO23" s="67" t="str">
        <f t="shared" si="0"/>
        <v>Bajo</v>
      </c>
      <c r="AP23" s="18"/>
      <c r="AQ23" s="82"/>
      <c r="AR23" s="77" t="e">
        <f>VLOOKUP(A23,#REF!,2,FALSE)</f>
        <v>#REF!</v>
      </c>
      <c r="AS23" s="104" t="s">
        <v>521</v>
      </c>
      <c r="AT23" s="110" t="s">
        <v>522</v>
      </c>
      <c r="AU23" s="134" t="s">
        <v>523</v>
      </c>
      <c r="AV23" s="34">
        <v>1</v>
      </c>
      <c r="AW23" s="125" t="s">
        <v>524</v>
      </c>
      <c r="AX23"/>
    </row>
    <row r="24" spans="1:51" ht="96">
      <c r="A24" s="11" t="s">
        <v>518</v>
      </c>
      <c r="B24" s="11" t="str">
        <f t="shared" si="1"/>
        <v>tnd-msa-sp-orqclientes0045</v>
      </c>
      <c r="C24" s="57" t="s">
        <v>525</v>
      </c>
      <c r="D24" s="11" t="s">
        <v>61</v>
      </c>
      <c r="E24" s="114" t="str">
        <f>VLOOKUP(D24,Tribus!$A$1:$B$33,2,FALSE)</f>
        <v>tnd</v>
      </c>
      <c r="F24" s="12" t="s">
        <v>237</v>
      </c>
      <c r="G24" s="12" t="s">
        <v>246</v>
      </c>
      <c r="H24" s="12" t="s">
        <v>239</v>
      </c>
      <c r="I24" s="151" t="s">
        <v>240</v>
      </c>
      <c r="J24" s="19" t="s">
        <v>526</v>
      </c>
      <c r="K24" s="19" t="s">
        <v>491</v>
      </c>
      <c r="L24" s="19" t="s">
        <v>241</v>
      </c>
      <c r="M24" s="15">
        <v>5</v>
      </c>
      <c r="N24" s="14" t="s">
        <v>150</v>
      </c>
      <c r="O24" s="19" t="s">
        <v>325</v>
      </c>
      <c r="P24" s="15">
        <v>2</v>
      </c>
      <c r="Q24" s="14" t="s">
        <v>149</v>
      </c>
      <c r="R24" s="19" t="s">
        <v>527</v>
      </c>
      <c r="S24" s="15">
        <v>2</v>
      </c>
      <c r="T24" s="14" t="s">
        <v>149</v>
      </c>
      <c r="U24" s="84" t="s">
        <v>242</v>
      </c>
      <c r="V24" s="15"/>
      <c r="W24" s="14" t="s">
        <v>148</v>
      </c>
      <c r="X24" s="21" t="s">
        <v>528</v>
      </c>
      <c r="Y24" s="19" t="s">
        <v>529</v>
      </c>
      <c r="Z24" s="19"/>
      <c r="AA24" s="19"/>
      <c r="AB24" s="14" t="s">
        <v>148</v>
      </c>
      <c r="AC24" s="13" t="s">
        <v>255</v>
      </c>
      <c r="AD24" s="14" t="s">
        <v>148</v>
      </c>
      <c r="AE24" s="19" t="s">
        <v>95</v>
      </c>
      <c r="AF24" s="19">
        <v>0</v>
      </c>
      <c r="AG24" s="19" t="s">
        <v>530</v>
      </c>
      <c r="AH24" s="15">
        <v>1</v>
      </c>
      <c r="AI24" s="14" t="s">
        <v>148</v>
      </c>
      <c r="AJ24" s="15" t="s">
        <v>332</v>
      </c>
      <c r="AK24" s="14" t="s">
        <v>148</v>
      </c>
      <c r="AL24" s="39" t="s">
        <v>531</v>
      </c>
      <c r="AM24" s="14" t="s">
        <v>148</v>
      </c>
      <c r="AN24" s="141">
        <f>IFERROR(SUM(CHOOSE(MATCH(N24,{"Baja";"Media";"Alta"},0),1,2,3),
CHOOSE(MATCH(Q24,{"Baja";"Media";"Alta"},0),1,2,3),
CHOOSE(MATCH(T24,{"Baja";"Media";"Alta"},0),1,2,3),
CHOOSE(MATCH(W24,{"Baja";"Media";"Alta"},0),1,2,3),
CHOOSE(MATCH(AB24,{"Baja";"Media";"Alta"},0),1,2,3),
CHOOSE(MATCH(AD24,{"Baja";"Media";"Alta"},0),1,2,3),
CHOOSE(MATCH(AI24,{"Baja";"Media";"Alta"},0),1,2,3),
CHOOSE(MATCH(AK24,{"Baja";"Media";"Alta"},0),1,2,3),
CHOOSE(MATCH(AM24,{"Baja";"Media";"Alta"},0),1,2,3)),0)</f>
        <v>13</v>
      </c>
      <c r="AO24" s="67" t="str">
        <f t="shared" si="0"/>
        <v>Bajo</v>
      </c>
      <c r="AP24" s="18"/>
      <c r="AQ24" s="18"/>
      <c r="AR24" s="165" t="e">
        <f>VLOOKUP(A24,#REF!,2,FALSE)</f>
        <v>#REF!</v>
      </c>
      <c r="AS24" s="87" t="s">
        <v>532</v>
      </c>
      <c r="AT24" s="94" t="s">
        <v>533</v>
      </c>
      <c r="AU24" s="87" t="s">
        <v>534</v>
      </c>
      <c r="AV24" s="34">
        <v>1</v>
      </c>
      <c r="AW24" s="95" t="s">
        <v>535</v>
      </c>
    </row>
    <row r="25" spans="1:51" ht="240">
      <c r="A25" s="11" t="s">
        <v>536</v>
      </c>
      <c r="B25" s="11" t="str">
        <f t="shared" si="1"/>
        <v>tnd-msa-sp-orqclientes0048</v>
      </c>
      <c r="C25" s="57" t="s">
        <v>537</v>
      </c>
      <c r="D25" s="11" t="s">
        <v>61</v>
      </c>
      <c r="E25" s="114" t="str">
        <f>VLOOKUP(D25,Tribus!$A$1:$B$33,2,FALSE)</f>
        <v>tnd</v>
      </c>
      <c r="F25" s="12" t="s">
        <v>237</v>
      </c>
      <c r="G25" s="12" t="s">
        <v>246</v>
      </c>
      <c r="H25" s="12" t="s">
        <v>239</v>
      </c>
      <c r="I25" s="151" t="s">
        <v>240</v>
      </c>
      <c r="J25" s="19" t="s">
        <v>538</v>
      </c>
      <c r="K25" s="19" t="s">
        <v>491</v>
      </c>
      <c r="L25" s="19" t="s">
        <v>241</v>
      </c>
      <c r="M25" s="15">
        <v>14</v>
      </c>
      <c r="N25" s="14" t="s">
        <v>149</v>
      </c>
      <c r="O25" s="15" t="s">
        <v>539</v>
      </c>
      <c r="P25" s="15">
        <v>1</v>
      </c>
      <c r="Q25" s="14" t="s">
        <v>148</v>
      </c>
      <c r="R25" s="15" t="s">
        <v>242</v>
      </c>
      <c r="S25" s="15">
        <v>0</v>
      </c>
      <c r="T25" s="14" t="s">
        <v>148</v>
      </c>
      <c r="U25" s="84" t="s">
        <v>242</v>
      </c>
      <c r="V25" s="15"/>
      <c r="W25" s="14" t="s">
        <v>148</v>
      </c>
      <c r="X25" s="21" t="s">
        <v>540</v>
      </c>
      <c r="Y25" s="19" t="s">
        <v>541</v>
      </c>
      <c r="Z25" s="19"/>
      <c r="AA25" s="19"/>
      <c r="AB25" s="14" t="s">
        <v>149</v>
      </c>
      <c r="AC25" s="13" t="s">
        <v>255</v>
      </c>
      <c r="AD25" s="14" t="s">
        <v>148</v>
      </c>
      <c r="AE25" s="19" t="s">
        <v>542</v>
      </c>
      <c r="AF25" s="19" t="s">
        <v>543</v>
      </c>
      <c r="AG25" s="19" t="s">
        <v>544</v>
      </c>
      <c r="AH25" s="15">
        <v>6</v>
      </c>
      <c r="AI25" s="14" t="s">
        <v>150</v>
      </c>
      <c r="AJ25" s="15" t="s">
        <v>332</v>
      </c>
      <c r="AK25" s="14" t="s">
        <v>148</v>
      </c>
      <c r="AL25" s="39" t="s">
        <v>545</v>
      </c>
      <c r="AM25" s="14" t="s">
        <v>148</v>
      </c>
      <c r="AN25" s="141">
        <f>IFERROR(SUM(CHOOSE(MATCH(N25,{"Baja";"Media";"Alta"},0),1,2,3),
CHOOSE(MATCH(Q25,{"Baja";"Media";"Alta"},0),1,2,3),
CHOOSE(MATCH(T25,{"Baja";"Media";"Alta"},0),1,2,3),
CHOOSE(MATCH(W25,{"Baja";"Media";"Alta"},0),1,2,3),
CHOOSE(MATCH(AB25,{"Baja";"Media";"Alta"},0),1,2,3),
CHOOSE(MATCH(AD25,{"Baja";"Media";"Alta"},0),1,2,3),
CHOOSE(MATCH(AI25,{"Baja";"Media";"Alta"},0),1,2,3),
CHOOSE(MATCH(AK25,{"Baja";"Media";"Alta"},0),1,2,3),
CHOOSE(MATCH(AM25,{"Baja";"Media";"Alta"},0),1,2,3)),0)</f>
        <v>13</v>
      </c>
      <c r="AO25" s="67" t="str">
        <f t="shared" si="0"/>
        <v>Bajo</v>
      </c>
      <c r="AP25" s="18"/>
      <c r="AQ25" s="18"/>
      <c r="AR25" s="165" t="e">
        <f>VLOOKUP(A25,#REF!,2,FALSE)</f>
        <v>#REF!</v>
      </c>
      <c r="AS25" s="87" t="s">
        <v>546</v>
      </c>
      <c r="AT25" s="94" t="s">
        <v>547</v>
      </c>
      <c r="AU25" s="87" t="s">
        <v>548</v>
      </c>
      <c r="AV25" s="34">
        <v>1</v>
      </c>
      <c r="AW25" s="95" t="s">
        <v>549</v>
      </c>
    </row>
    <row r="26" spans="1:51" ht="208">
      <c r="A26" s="16" t="s">
        <v>550</v>
      </c>
      <c r="B26" s="16" t="str">
        <f t="shared" si="1"/>
        <v>tnd-msa-sp-orqclientes0050</v>
      </c>
      <c r="C26" s="51" t="s">
        <v>551</v>
      </c>
      <c r="D26" s="99" t="s">
        <v>61</v>
      </c>
      <c r="E26" s="34" t="str">
        <f>VLOOKUP(D26,Tribus!$A$1:$B$33,2,FALSE)</f>
        <v>tnd</v>
      </c>
      <c r="F26" s="42" t="s">
        <v>237</v>
      </c>
      <c r="G26" s="42" t="s">
        <v>246</v>
      </c>
      <c r="H26" s="42" t="s">
        <v>239</v>
      </c>
      <c r="I26" s="36" t="s">
        <v>240</v>
      </c>
      <c r="J26" s="86" t="s">
        <v>552</v>
      </c>
      <c r="K26" s="153" t="s">
        <v>491</v>
      </c>
      <c r="L26" s="20" t="s">
        <v>241</v>
      </c>
      <c r="M26" s="37">
        <v>16</v>
      </c>
      <c r="N26" s="70" t="s">
        <v>150</v>
      </c>
      <c r="O26" s="38" t="s">
        <v>553</v>
      </c>
      <c r="P26" s="37">
        <v>2</v>
      </c>
      <c r="Q26" s="47" t="s">
        <v>149</v>
      </c>
      <c r="R26" s="32" t="s">
        <v>242</v>
      </c>
      <c r="S26" s="37">
        <v>0</v>
      </c>
      <c r="T26" s="47" t="s">
        <v>148</v>
      </c>
      <c r="U26" s="38" t="s">
        <v>554</v>
      </c>
      <c r="V26" s="38" t="s">
        <v>555</v>
      </c>
      <c r="W26" s="47" t="s">
        <v>149</v>
      </c>
      <c r="X26" s="22" t="s">
        <v>556</v>
      </c>
      <c r="Y26" s="20" t="s">
        <v>557</v>
      </c>
      <c r="Z26" s="20"/>
      <c r="AA26" s="20"/>
      <c r="AB26" s="47" t="s">
        <v>148</v>
      </c>
      <c r="AC26" s="86" t="s">
        <v>255</v>
      </c>
      <c r="AD26" s="47" t="s">
        <v>148</v>
      </c>
      <c r="AE26" s="22" t="s">
        <v>558</v>
      </c>
      <c r="AF26" s="20" t="s">
        <v>559</v>
      </c>
      <c r="AG26" s="20"/>
      <c r="AH26" s="37">
        <v>6</v>
      </c>
      <c r="AI26" s="47" t="s">
        <v>150</v>
      </c>
      <c r="AJ26" s="37" t="s">
        <v>171</v>
      </c>
      <c r="AK26" s="47" t="s">
        <v>148</v>
      </c>
      <c r="AL26" s="60" t="s">
        <v>286</v>
      </c>
      <c r="AM26" s="47" t="s">
        <v>148</v>
      </c>
      <c r="AN26" s="150">
        <f>IFERROR(SUM(CHOOSE(MATCH(N26,{"Baja";"Media";"Alta"},0),1,2,3),
CHOOSE(MATCH(Q26,{"Baja";"Media";"Alta"},0),1,2,3),
CHOOSE(MATCH(T26,{"Baja";"Media";"Alta"},0),1,2,3),
CHOOSE(MATCH(W26,{"Baja";"Media";"Alta"},0),1,2,3),
CHOOSE(MATCH(AB26,{"Baja";"Media";"Alta"},0),1,2,3),
CHOOSE(MATCH(AD26,{"Baja";"Media";"Alta"},0),1,2,3),
CHOOSE(MATCH(AI26,{"Baja";"Media";"Alta"},0),1,2,3),
CHOOSE(MATCH(AK26,{"Baja";"Media";"Alta"},0),1,2,3),
CHOOSE(MATCH(AM26,{"Baja";"Media";"Alta"},0),1,2,3)),0)</f>
        <v>15</v>
      </c>
      <c r="AO26" s="67" t="str">
        <f t="shared" si="0"/>
        <v>Bajo</v>
      </c>
      <c r="AP26" s="18"/>
      <c r="AQ26" s="79" t="s">
        <v>560</v>
      </c>
      <c r="AR26" s="77" t="e">
        <f>VLOOKUP(A26,#REF!,2,FALSE)</f>
        <v>#REF!</v>
      </c>
      <c r="AS26" s="104" t="s">
        <v>561</v>
      </c>
      <c r="AT26" s="110" t="s">
        <v>562</v>
      </c>
      <c r="AU26" s="134" t="s">
        <v>563</v>
      </c>
      <c r="AV26" s="34">
        <v>1</v>
      </c>
      <c r="AW26" s="95" t="s">
        <v>564</v>
      </c>
    </row>
    <row r="27" spans="1:51" ht="96">
      <c r="A27" s="11" t="s">
        <v>565</v>
      </c>
      <c r="B27" s="11" t="str">
        <f t="shared" si="1"/>
        <v>tpr-msa-sp-orqclientes0052</v>
      </c>
      <c r="C27" s="57" t="s">
        <v>566</v>
      </c>
      <c r="D27" s="11" t="s">
        <v>59</v>
      </c>
      <c r="E27" s="114" t="str">
        <f>VLOOKUP(D27,Tribus!$A$1:$B$33,2,FALSE)</f>
        <v>tpr</v>
      </c>
      <c r="F27" s="12" t="s">
        <v>237</v>
      </c>
      <c r="G27" s="12" t="s">
        <v>246</v>
      </c>
      <c r="H27" s="12" t="s">
        <v>239</v>
      </c>
      <c r="I27" s="151" t="s">
        <v>240</v>
      </c>
      <c r="J27" s="15" t="s">
        <v>567</v>
      </c>
      <c r="K27" s="15" t="s">
        <v>568</v>
      </c>
      <c r="L27" s="19" t="s">
        <v>241</v>
      </c>
      <c r="M27" s="15">
        <v>1</v>
      </c>
      <c r="N27" s="14" t="s">
        <v>148</v>
      </c>
      <c r="O27" s="15" t="s">
        <v>569</v>
      </c>
      <c r="P27" s="15">
        <v>1</v>
      </c>
      <c r="Q27" s="14" t="s">
        <v>148</v>
      </c>
      <c r="R27" s="15" t="s">
        <v>242</v>
      </c>
      <c r="S27" s="15">
        <v>0</v>
      </c>
      <c r="T27" s="14" t="s">
        <v>148</v>
      </c>
      <c r="U27" s="84" t="s">
        <v>242</v>
      </c>
      <c r="V27" s="15"/>
      <c r="W27" s="14" t="s">
        <v>148</v>
      </c>
      <c r="X27" s="21" t="s">
        <v>570</v>
      </c>
      <c r="Y27" s="19" t="s">
        <v>571</v>
      </c>
      <c r="Z27" s="19"/>
      <c r="AA27" s="19"/>
      <c r="AB27" s="14" t="s">
        <v>150</v>
      </c>
      <c r="AC27" s="13" t="s">
        <v>255</v>
      </c>
      <c r="AD27" s="14" t="s">
        <v>148</v>
      </c>
      <c r="AE27" s="19" t="s">
        <v>572</v>
      </c>
      <c r="AF27" s="19" t="s">
        <v>573</v>
      </c>
      <c r="AG27" s="15"/>
      <c r="AH27" s="15">
        <v>5</v>
      </c>
      <c r="AI27" s="14" t="s">
        <v>149</v>
      </c>
      <c r="AJ27" s="15" t="s">
        <v>242</v>
      </c>
      <c r="AK27" s="14" t="s">
        <v>148</v>
      </c>
      <c r="AL27" s="39" t="s">
        <v>574</v>
      </c>
      <c r="AM27" s="14" t="s">
        <v>148</v>
      </c>
      <c r="AN27" s="141">
        <f>IFERROR(SUM(CHOOSE(MATCH(N27,{"Baja";"Media";"Alta"},0),1,2,3),
CHOOSE(MATCH(Q27,{"Baja";"Media";"Alta"},0),1,2,3),
CHOOSE(MATCH(T27,{"Baja";"Media";"Alta"},0),1,2,3),
CHOOSE(MATCH(W27,{"Baja";"Media";"Alta"},0),1,2,3),
CHOOSE(MATCH(AB27,{"Baja";"Media";"Alta"},0),1,2,3),
CHOOSE(MATCH(AD27,{"Baja";"Media";"Alta"},0),1,2,3),
CHOOSE(MATCH(AI27,{"Baja";"Media";"Alta"},0),1,2,3),
CHOOSE(MATCH(AK27,{"Baja";"Media";"Alta"},0),1,2,3),
CHOOSE(MATCH(AM27,{"Baja";"Media";"Alta"},0),1,2,3)),0)</f>
        <v>12</v>
      </c>
      <c r="AO27" s="67" t="str">
        <f t="shared" si="0"/>
        <v>Bajo</v>
      </c>
      <c r="AP27" s="18"/>
      <c r="AQ27" s="18"/>
      <c r="AR27" s="165" t="e">
        <f>VLOOKUP(A27,#REF!,2,FALSE)</f>
        <v>#REF!</v>
      </c>
      <c r="AS27" s="87" t="s">
        <v>575</v>
      </c>
      <c r="AT27" s="94" t="s">
        <v>576</v>
      </c>
      <c r="AU27" s="98" t="s">
        <v>577</v>
      </c>
      <c r="AV27" s="34">
        <v>1</v>
      </c>
      <c r="AW27" s="95" t="s">
        <v>578</v>
      </c>
    </row>
    <row r="28" spans="1:51" s="44" customFormat="1" ht="64">
      <c r="A28" s="16" t="s">
        <v>579</v>
      </c>
      <c r="B28" s="16" t="str">
        <f t="shared" si="1"/>
        <v>tnd-msa-sp-orqclientes0053</v>
      </c>
      <c r="C28" s="51" t="s">
        <v>580</v>
      </c>
      <c r="D28" s="44" t="s">
        <v>61</v>
      </c>
      <c r="E28" s="34" t="str">
        <f>VLOOKUP(D28,Tribus!$A$1:$B$33,2,FALSE)</f>
        <v>tnd</v>
      </c>
      <c r="F28" s="42" t="s">
        <v>237</v>
      </c>
      <c r="G28" s="42" t="s">
        <v>246</v>
      </c>
      <c r="H28" s="42" t="s">
        <v>239</v>
      </c>
      <c r="I28" s="36" t="s">
        <v>240</v>
      </c>
      <c r="J28" s="86" t="s">
        <v>581</v>
      </c>
      <c r="K28" s="153" t="s">
        <v>582</v>
      </c>
      <c r="L28" s="20" t="s">
        <v>241</v>
      </c>
      <c r="M28" s="37">
        <v>4</v>
      </c>
      <c r="N28" s="47" t="s">
        <v>149</v>
      </c>
      <c r="O28" s="38" t="s">
        <v>101</v>
      </c>
      <c r="P28" s="37">
        <v>1</v>
      </c>
      <c r="Q28" s="47" t="s">
        <v>148</v>
      </c>
      <c r="R28" s="32" t="s">
        <v>242</v>
      </c>
      <c r="S28" s="37">
        <v>0</v>
      </c>
      <c r="T28" s="47" t="s">
        <v>148</v>
      </c>
      <c r="U28" s="38" t="s">
        <v>242</v>
      </c>
      <c r="V28" s="38"/>
      <c r="W28" s="47" t="s">
        <v>148</v>
      </c>
      <c r="X28" s="22" t="s">
        <v>583</v>
      </c>
      <c r="Y28" s="20" t="s">
        <v>584</v>
      </c>
      <c r="Z28" s="20"/>
      <c r="AA28" s="20"/>
      <c r="AB28" s="47" t="s">
        <v>148</v>
      </c>
      <c r="AC28" s="86" t="s">
        <v>255</v>
      </c>
      <c r="AD28" s="47" t="s">
        <v>148</v>
      </c>
      <c r="AE28" s="20" t="s">
        <v>585</v>
      </c>
      <c r="AF28" s="20" t="s">
        <v>586</v>
      </c>
      <c r="AG28" s="20"/>
      <c r="AH28" s="37">
        <v>2</v>
      </c>
      <c r="AI28" s="47" t="s">
        <v>149</v>
      </c>
      <c r="AJ28" s="37" t="s">
        <v>171</v>
      </c>
      <c r="AK28" s="47" t="s">
        <v>148</v>
      </c>
      <c r="AL28" s="40" t="s">
        <v>587</v>
      </c>
      <c r="AM28" s="47" t="s">
        <v>148</v>
      </c>
      <c r="AN28" s="150">
        <f>IFERROR(SUM(CHOOSE(MATCH(N28,{"Baja";"Media";"Alta"},0),1,2,3),
CHOOSE(MATCH(Q28,{"Baja";"Media";"Alta"},0),1,2,3),
CHOOSE(MATCH(T28,{"Baja";"Media";"Alta"},0),1,2,3),
CHOOSE(MATCH(W28,{"Baja";"Media";"Alta"},0),1,2,3),
CHOOSE(MATCH(AB28,{"Baja";"Media";"Alta"},0),1,2,3),
CHOOSE(MATCH(AD28,{"Baja";"Media";"Alta"},0),1,2,3),
CHOOSE(MATCH(AI28,{"Baja";"Media";"Alta"},0),1,2,3),
CHOOSE(MATCH(AK28,{"Baja";"Media";"Alta"},0),1,2,3),
CHOOSE(MATCH(AM28,{"Baja";"Media";"Alta"},0),1,2,3)),0)</f>
        <v>11</v>
      </c>
      <c r="AO28" s="67" t="str">
        <f t="shared" si="0"/>
        <v>Bajo</v>
      </c>
      <c r="AP28" s="18"/>
      <c r="AQ28" s="76"/>
      <c r="AR28" s="77" t="e">
        <f>VLOOKUP(A28,#REF!,2,FALSE)</f>
        <v>#REF!</v>
      </c>
      <c r="AS28" s="103" t="s">
        <v>588</v>
      </c>
      <c r="AT28" s="110" t="s">
        <v>589</v>
      </c>
      <c r="AU28" s="135" t="s">
        <v>590</v>
      </c>
      <c r="AV28" s="34">
        <v>1</v>
      </c>
      <c r="AW28" s="126" t="s">
        <v>591</v>
      </c>
      <c r="AX28"/>
    </row>
    <row r="29" spans="1:51" ht="160">
      <c r="A29" s="11" t="s">
        <v>592</v>
      </c>
      <c r="B29" s="11" t="str">
        <f t="shared" si="1"/>
        <v>tnd-msa-sp-orqclientes0054</v>
      </c>
      <c r="C29" s="57" t="s">
        <v>454</v>
      </c>
      <c r="D29" s="92" t="s">
        <v>61</v>
      </c>
      <c r="E29" s="114" t="str">
        <f>VLOOKUP(D29,Tribus!$A$1:$B$33,2,FALSE)</f>
        <v>tnd</v>
      </c>
      <c r="F29" s="12" t="s">
        <v>237</v>
      </c>
      <c r="G29" s="12" t="s">
        <v>246</v>
      </c>
      <c r="H29" s="12" t="s">
        <v>239</v>
      </c>
      <c r="I29" s="151" t="s">
        <v>240</v>
      </c>
      <c r="J29" s="19" t="s">
        <v>593</v>
      </c>
      <c r="K29" s="19" t="s">
        <v>491</v>
      </c>
      <c r="L29" s="19" t="s">
        <v>241</v>
      </c>
      <c r="M29" s="15">
        <v>7</v>
      </c>
      <c r="N29" s="14" t="s">
        <v>150</v>
      </c>
      <c r="O29" s="15" t="s">
        <v>101</v>
      </c>
      <c r="P29" s="15">
        <v>1</v>
      </c>
      <c r="Q29" s="14" t="s">
        <v>148</v>
      </c>
      <c r="R29" s="15" t="s">
        <v>456</v>
      </c>
      <c r="S29" s="15">
        <v>0</v>
      </c>
      <c r="T29" s="14" t="s">
        <v>148</v>
      </c>
      <c r="U29" s="84" t="s">
        <v>242</v>
      </c>
      <c r="V29" s="15"/>
      <c r="W29" s="14" t="s">
        <v>148</v>
      </c>
      <c r="X29" s="21">
        <v>1638</v>
      </c>
      <c r="Y29" s="19" t="s">
        <v>594</v>
      </c>
      <c r="Z29" s="19"/>
      <c r="AA29" s="19"/>
      <c r="AB29" s="14" t="s">
        <v>148</v>
      </c>
      <c r="AC29" s="13" t="s">
        <v>255</v>
      </c>
      <c r="AD29" s="14" t="s">
        <v>148</v>
      </c>
      <c r="AE29" s="19" t="s">
        <v>59</v>
      </c>
      <c r="AF29" s="19" t="s">
        <v>595</v>
      </c>
      <c r="AG29" s="19"/>
      <c r="AH29" s="15">
        <v>1</v>
      </c>
      <c r="AI29" s="14" t="s">
        <v>148</v>
      </c>
      <c r="AJ29" s="15" t="s">
        <v>456</v>
      </c>
      <c r="AK29" s="14" t="s">
        <v>148</v>
      </c>
      <c r="AL29" s="39" t="s">
        <v>596</v>
      </c>
      <c r="AM29" s="14" t="s">
        <v>148</v>
      </c>
      <c r="AN29" s="141">
        <f>IFERROR(SUM(CHOOSE(MATCH(N29,{"Baja";"Media";"Alta"},0),1,2,3),
CHOOSE(MATCH(Q29,{"Baja";"Media";"Alta"},0),1,2,3),
CHOOSE(MATCH(T29,{"Baja";"Media";"Alta"},0),1,2,3),
CHOOSE(MATCH(W29,{"Baja";"Media";"Alta"},0),1,2,3),
CHOOSE(MATCH(AB29,{"Baja";"Media";"Alta"},0),1,2,3),
CHOOSE(MATCH(AD29,{"Baja";"Media";"Alta"},0),1,2,3),
CHOOSE(MATCH(AI29,{"Baja";"Media";"Alta"},0),1,2,3),
CHOOSE(MATCH(AK29,{"Baja";"Media";"Alta"},0),1,2,3),
CHOOSE(MATCH(AM29,{"Baja";"Media";"Alta"},0),1,2,3)),0)</f>
        <v>11</v>
      </c>
      <c r="AO29" s="67" t="str">
        <f t="shared" si="0"/>
        <v>Bajo</v>
      </c>
      <c r="AP29" s="18"/>
      <c r="AQ29" s="18"/>
      <c r="AR29" s="165" t="e">
        <f>VLOOKUP(A29,#REF!,2,FALSE)</f>
        <v>#REF!</v>
      </c>
      <c r="AS29" s="57" t="s">
        <v>597</v>
      </c>
      <c r="AT29" s="94" t="s">
        <v>598</v>
      </c>
      <c r="AU29" s="98" t="s">
        <v>599</v>
      </c>
      <c r="AV29" s="34">
        <v>1</v>
      </c>
      <c r="AW29" s="95" t="s">
        <v>600</v>
      </c>
    </row>
    <row r="30" spans="1:51" ht="64">
      <c r="A30" s="11" t="s">
        <v>601</v>
      </c>
      <c r="B30" s="11" t="str">
        <f t="shared" si="1"/>
        <v>tnd-msa-sp-orqclientes0056</v>
      </c>
      <c r="C30" s="57" t="s">
        <v>602</v>
      </c>
      <c r="D30" s="11" t="s">
        <v>61</v>
      </c>
      <c r="E30" s="114" t="str">
        <f>VLOOKUP(D30,Tribus!$A$1:$B$33,2,FALSE)</f>
        <v>tnd</v>
      </c>
      <c r="F30" s="12" t="s">
        <v>237</v>
      </c>
      <c r="G30" s="12" t="s">
        <v>246</v>
      </c>
      <c r="H30" s="12" t="s">
        <v>239</v>
      </c>
      <c r="I30" s="151" t="s">
        <v>240</v>
      </c>
      <c r="J30" s="19" t="s">
        <v>603</v>
      </c>
      <c r="K30" s="19" t="s">
        <v>491</v>
      </c>
      <c r="L30" s="19" t="s">
        <v>241</v>
      </c>
      <c r="M30" s="15">
        <v>4</v>
      </c>
      <c r="N30" s="14" t="s">
        <v>150</v>
      </c>
      <c r="O30" s="15" t="s">
        <v>101</v>
      </c>
      <c r="P30" s="15">
        <v>1</v>
      </c>
      <c r="Q30" s="14" t="s">
        <v>148</v>
      </c>
      <c r="R30" s="15" t="s">
        <v>456</v>
      </c>
      <c r="S30" s="15">
        <v>0</v>
      </c>
      <c r="T30" s="14" t="s">
        <v>148</v>
      </c>
      <c r="U30" s="84" t="s">
        <v>242</v>
      </c>
      <c r="V30" s="15"/>
      <c r="W30" s="14" t="s">
        <v>148</v>
      </c>
      <c r="X30" s="21">
        <v>1068</v>
      </c>
      <c r="Y30" s="19" t="s">
        <v>604</v>
      </c>
      <c r="Z30" s="19"/>
      <c r="AA30" s="19"/>
      <c r="AB30" s="14" t="s">
        <v>148</v>
      </c>
      <c r="AC30" s="13" t="s">
        <v>255</v>
      </c>
      <c r="AD30" s="14" t="s">
        <v>148</v>
      </c>
      <c r="AE30" s="19" t="s">
        <v>61</v>
      </c>
      <c r="AF30" s="15">
        <v>0</v>
      </c>
      <c r="AG30" s="19" t="s">
        <v>605</v>
      </c>
      <c r="AH30" s="15">
        <v>1</v>
      </c>
      <c r="AI30" s="14" t="s">
        <v>148</v>
      </c>
      <c r="AJ30" s="15" t="s">
        <v>456</v>
      </c>
      <c r="AK30" s="14" t="s">
        <v>148</v>
      </c>
      <c r="AL30" s="39" t="s">
        <v>606</v>
      </c>
      <c r="AM30" s="14" t="s">
        <v>148</v>
      </c>
      <c r="AN30" s="141">
        <f>IFERROR(SUM(CHOOSE(MATCH(N30,{"Baja";"Media";"Alta"},0),1,2,3),
CHOOSE(MATCH(Q30,{"Baja";"Media";"Alta"},0),1,2,3),
CHOOSE(MATCH(T30,{"Baja";"Media";"Alta"},0),1,2,3),
CHOOSE(MATCH(W30,{"Baja";"Media";"Alta"},0),1,2,3),
CHOOSE(MATCH(AB30,{"Baja";"Media";"Alta"},0),1,2,3),
CHOOSE(MATCH(AD30,{"Baja";"Media";"Alta"},0),1,2,3),
CHOOSE(MATCH(AI30,{"Baja";"Media";"Alta"},0),1,2,3),
CHOOSE(MATCH(AK30,{"Baja";"Media";"Alta"},0),1,2,3),
CHOOSE(MATCH(AM30,{"Baja";"Media";"Alta"},0),1,2,3)),0)</f>
        <v>11</v>
      </c>
      <c r="AO30" s="67" t="str">
        <f t="shared" si="0"/>
        <v>Bajo</v>
      </c>
      <c r="AP30" s="18"/>
      <c r="AQ30" s="18"/>
      <c r="AR30" s="165" t="e">
        <f>VLOOKUP(A30,#REF!,2,FALSE)</f>
        <v>#REF!</v>
      </c>
      <c r="AS30" s="19" t="s">
        <v>607</v>
      </c>
      <c r="AT30" s="94" t="s">
        <v>608</v>
      </c>
      <c r="AU30" s="98" t="s">
        <v>609</v>
      </c>
      <c r="AV30" s="34">
        <v>1</v>
      </c>
      <c r="AW30" s="95" t="s">
        <v>610</v>
      </c>
    </row>
    <row r="31" spans="1:51" ht="64">
      <c r="A31" s="11" t="s">
        <v>611</v>
      </c>
      <c r="B31" s="11" t="str">
        <f t="shared" si="1"/>
        <v>tnd-msa-sp-orqclientes0059</v>
      </c>
      <c r="C31" s="57" t="s">
        <v>612</v>
      </c>
      <c r="D31" s="11" t="s">
        <v>61</v>
      </c>
      <c r="E31" s="114" t="str">
        <f>VLOOKUP(D31,Tribus!$A$1:$B$33,2,FALSE)</f>
        <v>tnd</v>
      </c>
      <c r="F31" s="12" t="s">
        <v>237</v>
      </c>
      <c r="G31" s="12" t="s">
        <v>246</v>
      </c>
      <c r="H31" s="12" t="s">
        <v>239</v>
      </c>
      <c r="I31" s="151" t="s">
        <v>240</v>
      </c>
      <c r="J31" s="19" t="s">
        <v>613</v>
      </c>
      <c r="K31" s="19" t="s">
        <v>237</v>
      </c>
      <c r="L31" s="19" t="s">
        <v>241</v>
      </c>
      <c r="M31" s="15">
        <v>4</v>
      </c>
      <c r="N31" s="14" t="s">
        <v>150</v>
      </c>
      <c r="O31" s="19" t="s">
        <v>422</v>
      </c>
      <c r="P31" s="15">
        <v>1</v>
      </c>
      <c r="Q31" s="14" t="s">
        <v>148</v>
      </c>
      <c r="R31" s="15" t="s">
        <v>242</v>
      </c>
      <c r="S31" s="15">
        <v>0</v>
      </c>
      <c r="T31" s="14" t="s">
        <v>148</v>
      </c>
      <c r="U31" s="84" t="s">
        <v>242</v>
      </c>
      <c r="V31" s="15"/>
      <c r="W31" s="14" t="s">
        <v>148</v>
      </c>
      <c r="X31" s="21">
        <v>632</v>
      </c>
      <c r="Y31" s="19" t="s">
        <v>614</v>
      </c>
      <c r="Z31" s="19"/>
      <c r="AA31" s="19"/>
      <c r="AB31" s="14" t="s">
        <v>148</v>
      </c>
      <c r="AC31" s="13" t="s">
        <v>255</v>
      </c>
      <c r="AD31" s="14" t="s">
        <v>148</v>
      </c>
      <c r="AE31" s="19" t="s">
        <v>51</v>
      </c>
      <c r="AF31" s="19" t="s">
        <v>615</v>
      </c>
      <c r="AG31" s="19" t="s">
        <v>616</v>
      </c>
      <c r="AH31" s="15">
        <v>0</v>
      </c>
      <c r="AI31" s="14" t="s">
        <v>148</v>
      </c>
      <c r="AJ31" s="15" t="s">
        <v>171</v>
      </c>
      <c r="AK31" s="14" t="s">
        <v>148</v>
      </c>
      <c r="AL31" s="39" t="s">
        <v>617</v>
      </c>
      <c r="AM31" s="14" t="s">
        <v>148</v>
      </c>
      <c r="AN31" s="141">
        <f>IFERROR(SUM(CHOOSE(MATCH(N31,{"Baja";"Media";"Alta"},0),1,2,3),
CHOOSE(MATCH(Q31,{"Baja";"Media";"Alta"},0),1,2,3),
CHOOSE(MATCH(T31,{"Baja";"Media";"Alta"},0),1,2,3),
CHOOSE(MATCH(W31,{"Baja";"Media";"Alta"},0),1,2,3),
CHOOSE(MATCH(AB31,{"Baja";"Media";"Alta"},0),1,2,3),
CHOOSE(MATCH(AD31,{"Baja";"Media";"Alta"},0),1,2,3),
CHOOSE(MATCH(AI31,{"Baja";"Media";"Alta"},0),1,2,3),
CHOOSE(MATCH(AK31,{"Baja";"Media";"Alta"},0),1,2,3),
CHOOSE(MATCH(AM31,{"Baja";"Media";"Alta"},0),1,2,3)),0)</f>
        <v>11</v>
      </c>
      <c r="AO31" s="67" t="str">
        <f t="shared" si="0"/>
        <v>Bajo</v>
      </c>
      <c r="AP31" s="18"/>
      <c r="AQ31" s="18"/>
      <c r="AR31" s="165" t="e">
        <f>VLOOKUP(A31,#REF!,2,FALSE)</f>
        <v>#REF!</v>
      </c>
      <c r="AS31" s="101" t="s">
        <v>618</v>
      </c>
      <c r="AT31" s="93" t="s">
        <v>619</v>
      </c>
      <c r="AU31" s="98" t="s">
        <v>620</v>
      </c>
      <c r="AV31" s="34">
        <v>1</v>
      </c>
      <c r="AW31" s="95" t="s">
        <v>621</v>
      </c>
      <c r="AY31" t="s">
        <v>622</v>
      </c>
    </row>
    <row r="32" spans="1:51" ht="80">
      <c r="A32" s="11" t="s">
        <v>623</v>
      </c>
      <c r="B32" s="11" t="str">
        <f t="shared" si="1"/>
        <v>tnd-msa-sp-orqclientes0062</v>
      </c>
      <c r="C32" s="57" t="s">
        <v>624</v>
      </c>
      <c r="D32" s="11" t="s">
        <v>61</v>
      </c>
      <c r="E32" s="114" t="str">
        <f>VLOOKUP(D32,Tribus!$A$1:$B$33,2,FALSE)</f>
        <v>tnd</v>
      </c>
      <c r="F32" s="12" t="s">
        <v>237</v>
      </c>
      <c r="G32" s="12" t="s">
        <v>246</v>
      </c>
      <c r="H32" s="12" t="s">
        <v>239</v>
      </c>
      <c r="I32" s="151" t="s">
        <v>240</v>
      </c>
      <c r="J32" s="19" t="s">
        <v>625</v>
      </c>
      <c r="K32" s="19" t="s">
        <v>491</v>
      </c>
      <c r="L32" s="19" t="s">
        <v>241</v>
      </c>
      <c r="M32" s="15">
        <v>2</v>
      </c>
      <c r="N32" s="14" t="s">
        <v>149</v>
      </c>
      <c r="O32" s="84" t="s">
        <v>101</v>
      </c>
      <c r="P32" s="15">
        <v>1</v>
      </c>
      <c r="Q32" s="14" t="s">
        <v>148</v>
      </c>
      <c r="R32" s="15" t="s">
        <v>242</v>
      </c>
      <c r="S32" s="15">
        <v>0</v>
      </c>
      <c r="T32" s="14" t="s">
        <v>148</v>
      </c>
      <c r="U32" s="38" t="s">
        <v>242</v>
      </c>
      <c r="V32" s="38" t="s">
        <v>492</v>
      </c>
      <c r="W32" s="14" t="s">
        <v>148</v>
      </c>
      <c r="X32" s="147" t="s">
        <v>626</v>
      </c>
      <c r="Y32" s="147" t="s">
        <v>627</v>
      </c>
      <c r="Z32" s="147"/>
      <c r="AA32" s="147"/>
      <c r="AB32" s="14" t="s">
        <v>149</v>
      </c>
      <c r="AC32" s="13" t="s">
        <v>255</v>
      </c>
      <c r="AD32" s="14" t="s">
        <v>148</v>
      </c>
      <c r="AE32" s="19" t="s">
        <v>628</v>
      </c>
      <c r="AF32" s="19" t="s">
        <v>629</v>
      </c>
      <c r="AG32" s="19" t="s">
        <v>630</v>
      </c>
      <c r="AH32" s="15">
        <v>3</v>
      </c>
      <c r="AI32" s="14" t="s">
        <v>149</v>
      </c>
      <c r="AJ32" s="15">
        <v>0</v>
      </c>
      <c r="AK32" s="14" t="s">
        <v>148</v>
      </c>
      <c r="AL32" s="39" t="s">
        <v>631</v>
      </c>
      <c r="AM32" s="14" t="s">
        <v>148</v>
      </c>
      <c r="AN32" s="141">
        <f>IFERROR(SUM(CHOOSE(MATCH(N32,{"Baja";"Media";"Alta"},0),1,2,3),
CHOOSE(MATCH(Q32,{"Baja";"Media";"Alta"},0),1,2,3),
CHOOSE(MATCH(T32,{"Baja";"Media";"Alta"},0),1,2,3),
CHOOSE(MATCH(W32,{"Baja";"Media";"Alta"},0),1,2,3),
CHOOSE(MATCH(AB32,{"Baja";"Media";"Alta"},0),1,2,3),
CHOOSE(MATCH(AD32,{"Baja";"Media";"Alta"},0),1,2,3),
CHOOSE(MATCH(AI32,{"Baja";"Media";"Alta"},0),1,2,3),
CHOOSE(MATCH(AK32,{"Baja";"Media";"Alta"},0),1,2,3),
CHOOSE(MATCH(AM32,{"Baja";"Media";"Alta"},0),1,2,3)),0)</f>
        <v>12</v>
      </c>
      <c r="AO32" s="67" t="str">
        <f t="shared" si="0"/>
        <v>Bajo</v>
      </c>
      <c r="AP32" s="18"/>
      <c r="AQ32" s="18" t="s">
        <v>632</v>
      </c>
      <c r="AR32" s="165" t="e">
        <f>VLOOKUP(A32,#REF!,2,FALSE)</f>
        <v>#REF!</v>
      </c>
      <c r="AS32" s="98" t="s">
        <v>633</v>
      </c>
      <c r="AT32" s="142" t="s">
        <v>634</v>
      </c>
      <c r="AU32" s="98" t="s">
        <v>635</v>
      </c>
      <c r="AV32" s="34">
        <v>1</v>
      </c>
      <c r="AW32" s="95" t="s">
        <v>636</v>
      </c>
    </row>
    <row r="33" spans="1:50" ht="64">
      <c r="A33" s="11" t="s">
        <v>637</v>
      </c>
      <c r="B33" s="11" t="str">
        <f t="shared" si="1"/>
        <v>tnd-msa-sp-orqclientes0063</v>
      </c>
      <c r="C33" s="57" t="s">
        <v>638</v>
      </c>
      <c r="D33" s="11" t="s">
        <v>61</v>
      </c>
      <c r="E33" s="114" t="str">
        <f>VLOOKUP(D33,Tribus!$A$1:$B$33,2,FALSE)</f>
        <v>tnd</v>
      </c>
      <c r="F33" s="12" t="s">
        <v>237</v>
      </c>
      <c r="G33" s="12" t="s">
        <v>246</v>
      </c>
      <c r="H33" s="12" t="s">
        <v>239</v>
      </c>
      <c r="I33" s="151" t="s">
        <v>240</v>
      </c>
      <c r="J33" s="19" t="s">
        <v>639</v>
      </c>
      <c r="K33" s="19" t="s">
        <v>640</v>
      </c>
      <c r="L33" s="19" t="s">
        <v>241</v>
      </c>
      <c r="M33" s="15">
        <v>2</v>
      </c>
      <c r="N33" s="14" t="s">
        <v>149</v>
      </c>
      <c r="O33" s="84" t="s">
        <v>101</v>
      </c>
      <c r="P33" s="15">
        <v>1</v>
      </c>
      <c r="Q33" s="14" t="s">
        <v>148</v>
      </c>
      <c r="R33" s="15" t="s">
        <v>242</v>
      </c>
      <c r="S33" s="15">
        <v>0</v>
      </c>
      <c r="T33" s="14" t="s">
        <v>148</v>
      </c>
      <c r="U33" s="38" t="s">
        <v>242</v>
      </c>
      <c r="V33" s="38" t="s">
        <v>492</v>
      </c>
      <c r="W33" s="14" t="s">
        <v>148</v>
      </c>
      <c r="X33" s="147" t="s">
        <v>641</v>
      </c>
      <c r="Y33" s="147" t="s">
        <v>642</v>
      </c>
      <c r="Z33" s="147"/>
      <c r="AA33" s="147"/>
      <c r="AB33" s="14" t="s">
        <v>148</v>
      </c>
      <c r="AC33" s="13" t="s">
        <v>255</v>
      </c>
      <c r="AD33" s="14" t="s">
        <v>148</v>
      </c>
      <c r="AE33" s="19" t="s">
        <v>61</v>
      </c>
      <c r="AF33" s="19" t="s">
        <v>643</v>
      </c>
      <c r="AG33" s="19" t="s">
        <v>644</v>
      </c>
      <c r="AH33" s="15">
        <v>2</v>
      </c>
      <c r="AI33" s="14" t="s">
        <v>149</v>
      </c>
      <c r="AJ33" s="15">
        <v>0</v>
      </c>
      <c r="AK33" s="14" t="s">
        <v>148</v>
      </c>
      <c r="AL33" s="39" t="s">
        <v>645</v>
      </c>
      <c r="AM33" s="14" t="s">
        <v>148</v>
      </c>
      <c r="AN33" s="141">
        <f>IFERROR(SUM(CHOOSE(MATCH(N33,{"Baja";"Media";"Alta"},0),1,2,3),
CHOOSE(MATCH(Q33,{"Baja";"Media";"Alta"},0),1,2,3),
CHOOSE(MATCH(T33,{"Baja";"Media";"Alta"},0),1,2,3),
CHOOSE(MATCH(W33,{"Baja";"Media";"Alta"},0),1,2,3),
CHOOSE(MATCH(AB33,{"Baja";"Media";"Alta"},0),1,2,3),
CHOOSE(MATCH(AD33,{"Baja";"Media";"Alta"},0),1,2,3),
CHOOSE(MATCH(AI33,{"Baja";"Media";"Alta"},0),1,2,3),
CHOOSE(MATCH(AK33,{"Baja";"Media";"Alta"},0),1,2,3),
CHOOSE(MATCH(AM33,{"Baja";"Media";"Alta"},0),1,2,3)),0)</f>
        <v>11</v>
      </c>
      <c r="AO33" s="67" t="str">
        <f t="shared" si="0"/>
        <v>Bajo</v>
      </c>
      <c r="AP33" s="18"/>
      <c r="AQ33" s="18"/>
      <c r="AR33" s="165" t="e">
        <f>VLOOKUP(A33,#REF!,2,FALSE)</f>
        <v>#REF!</v>
      </c>
      <c r="AS33" s="98" t="s">
        <v>646</v>
      </c>
      <c r="AT33" s="142" t="s">
        <v>647</v>
      </c>
      <c r="AU33" s="98" t="s">
        <v>648</v>
      </c>
      <c r="AV33" s="34">
        <v>1</v>
      </c>
      <c r="AW33" s="95" t="s">
        <v>649</v>
      </c>
    </row>
    <row r="34" spans="1:50" ht="176">
      <c r="A34" s="11" t="s">
        <v>650</v>
      </c>
      <c r="B34" s="11" t="str">
        <f t="shared" si="1"/>
        <v>tnd-msa-sp-orqclientes0071</v>
      </c>
      <c r="C34" s="57" t="s">
        <v>651</v>
      </c>
      <c r="D34" t="s">
        <v>61</v>
      </c>
      <c r="E34" s="114" t="str">
        <f>VLOOKUP(D34,Tribus!$A$1:$B$33,2,FALSE)</f>
        <v>tnd</v>
      </c>
      <c r="F34" s="12" t="s">
        <v>237</v>
      </c>
      <c r="G34" s="12" t="s">
        <v>246</v>
      </c>
      <c r="H34" s="12" t="s">
        <v>239</v>
      </c>
      <c r="I34" s="151" t="s">
        <v>240</v>
      </c>
      <c r="J34" s="19" t="s">
        <v>652</v>
      </c>
      <c r="K34" s="19" t="s">
        <v>491</v>
      </c>
      <c r="L34" s="19" t="s">
        <v>241</v>
      </c>
      <c r="M34" s="15">
        <v>2</v>
      </c>
      <c r="N34" s="14" t="s">
        <v>149</v>
      </c>
      <c r="O34" s="84" t="s">
        <v>101</v>
      </c>
      <c r="P34" s="15">
        <v>1</v>
      </c>
      <c r="Q34" s="14" t="s">
        <v>148</v>
      </c>
      <c r="R34" s="15" t="s">
        <v>242</v>
      </c>
      <c r="S34" s="15">
        <v>0</v>
      </c>
      <c r="T34" s="14" t="s">
        <v>148</v>
      </c>
      <c r="U34" s="38" t="s">
        <v>242</v>
      </c>
      <c r="V34" s="38" t="s">
        <v>492</v>
      </c>
      <c r="W34" s="14" t="s">
        <v>148</v>
      </c>
      <c r="X34" s="147" t="s">
        <v>653</v>
      </c>
      <c r="Y34" s="147" t="s">
        <v>654</v>
      </c>
      <c r="AB34" s="14" t="s">
        <v>149</v>
      </c>
      <c r="AC34" s="13" t="s">
        <v>255</v>
      </c>
      <c r="AD34" s="14" t="s">
        <v>148</v>
      </c>
      <c r="AE34" s="19" t="s">
        <v>655</v>
      </c>
      <c r="AF34" s="19" t="s">
        <v>656</v>
      </c>
      <c r="AG34" s="19" t="s">
        <v>657</v>
      </c>
      <c r="AH34" s="15">
        <v>4</v>
      </c>
      <c r="AI34" s="14" t="s">
        <v>150</v>
      </c>
      <c r="AJ34" s="15">
        <v>1</v>
      </c>
      <c r="AK34" s="14" t="s">
        <v>149</v>
      </c>
      <c r="AL34" s="39" t="s">
        <v>658</v>
      </c>
      <c r="AM34" s="14" t="s">
        <v>148</v>
      </c>
      <c r="AN34" s="141">
        <f>IFERROR(SUM(CHOOSE(MATCH(N34,{"Baja";"Media";"Alta"},0),1,2,3),
CHOOSE(MATCH(Q34,{"Baja";"Media";"Alta"},0),1,2,3),
CHOOSE(MATCH(T34,{"Baja";"Media";"Alta"},0),1,2,3),
CHOOSE(MATCH(W34,{"Baja";"Media";"Alta"},0),1,2,3),
CHOOSE(MATCH(AB34,{"Baja";"Media";"Alta"},0),1,2,3),
CHOOSE(MATCH(AD34,{"Baja";"Media";"Alta"},0),1,2,3),
CHOOSE(MATCH(AI34,{"Baja";"Media";"Alta"},0),1,2,3),
CHOOSE(MATCH(AK34,{"Baja";"Media";"Alta"},0),1,2,3),
CHOOSE(MATCH(AM34,{"Baja";"Media";"Alta"},0),1,2,3)),0)</f>
        <v>14</v>
      </c>
      <c r="AO34" s="67" t="str">
        <f t="shared" si="0"/>
        <v>Bajo</v>
      </c>
      <c r="AP34" s="18"/>
      <c r="AQ34" s="18"/>
      <c r="AR34" s="165" t="e">
        <f>VLOOKUP(A34,#REF!,2,FALSE)</f>
        <v>#REF!</v>
      </c>
      <c r="AS34" s="98" t="s">
        <v>659</v>
      </c>
      <c r="AT34" s="94" t="s">
        <v>660</v>
      </c>
      <c r="AU34" s="98" t="s">
        <v>661</v>
      </c>
      <c r="AV34" s="34">
        <v>1</v>
      </c>
      <c r="AW34" s="95" t="s">
        <v>662</v>
      </c>
    </row>
    <row r="35" spans="1:50" ht="176">
      <c r="A35" s="11" t="s">
        <v>663</v>
      </c>
      <c r="B35" s="11" t="str">
        <f t="shared" si="1"/>
        <v>tnd-msa-sp-orqclientes0072</v>
      </c>
      <c r="C35" s="57" t="s">
        <v>664</v>
      </c>
      <c r="D35" t="s">
        <v>61</v>
      </c>
      <c r="E35" s="114" t="str">
        <f>VLOOKUP(D35,Tribus!$A$1:$B$33,2,FALSE)</f>
        <v>tnd</v>
      </c>
      <c r="F35" s="12" t="s">
        <v>237</v>
      </c>
      <c r="G35" s="12" t="s">
        <v>246</v>
      </c>
      <c r="H35" s="12" t="s">
        <v>239</v>
      </c>
      <c r="I35" s="151" t="s">
        <v>240</v>
      </c>
      <c r="J35" s="19" t="s">
        <v>665</v>
      </c>
      <c r="K35" s="19" t="s">
        <v>491</v>
      </c>
      <c r="L35" s="19" t="s">
        <v>241</v>
      </c>
      <c r="M35" s="15">
        <v>4</v>
      </c>
      <c r="N35" s="14" t="s">
        <v>149</v>
      </c>
      <c r="O35" s="10" t="s">
        <v>109</v>
      </c>
      <c r="P35" s="15">
        <v>1</v>
      </c>
      <c r="Q35" s="14" t="s">
        <v>148</v>
      </c>
      <c r="R35" s="15" t="s">
        <v>456</v>
      </c>
      <c r="S35" s="15">
        <v>0</v>
      </c>
      <c r="T35" s="14" t="s">
        <v>148</v>
      </c>
      <c r="U35" s="84" t="s">
        <v>242</v>
      </c>
      <c r="V35" s="15"/>
      <c r="W35" s="14" t="s">
        <v>149</v>
      </c>
      <c r="X35" s="21" t="s">
        <v>666</v>
      </c>
      <c r="Y35" s="19" t="s">
        <v>667</v>
      </c>
      <c r="Z35" s="19"/>
      <c r="AA35" s="19"/>
      <c r="AB35" s="14" t="s">
        <v>148</v>
      </c>
      <c r="AC35" s="13" t="s">
        <v>255</v>
      </c>
      <c r="AD35" s="14" t="s">
        <v>148</v>
      </c>
      <c r="AE35" s="19" t="s">
        <v>668</v>
      </c>
      <c r="AF35" s="19" t="s">
        <v>669</v>
      </c>
      <c r="AG35" s="19"/>
      <c r="AH35" s="15">
        <v>1</v>
      </c>
      <c r="AI35" s="14" t="s">
        <v>148</v>
      </c>
      <c r="AJ35" s="15" t="s">
        <v>456</v>
      </c>
      <c r="AK35" s="14" t="s">
        <v>148</v>
      </c>
      <c r="AL35" s="39" t="s">
        <v>670</v>
      </c>
      <c r="AM35" s="14" t="s">
        <v>148</v>
      </c>
      <c r="AN35" s="141">
        <f>IFERROR(SUM(CHOOSE(MATCH(N35,{"Baja";"Media";"Alta"},0),1,2,3),
CHOOSE(MATCH(Q35,{"Baja";"Media";"Alta"},0),1,2,3),
CHOOSE(MATCH(T35,{"Baja";"Media";"Alta"},0),1,2,3),
CHOOSE(MATCH(W35,{"Baja";"Media";"Alta"},0),1,2,3),
CHOOSE(MATCH(AB35,{"Baja";"Media";"Alta"},0),1,2,3),
CHOOSE(MATCH(AD35,{"Baja";"Media";"Alta"},0),1,2,3),
CHOOSE(MATCH(AI35,{"Baja";"Media";"Alta"},0),1,2,3),
CHOOSE(MATCH(AK35,{"Baja";"Media";"Alta"},0),1,2,3),
CHOOSE(MATCH(AM35,{"Baja";"Media";"Alta"},0),1,2,3)),0)</f>
        <v>11</v>
      </c>
      <c r="AO35" s="67" t="str">
        <f t="shared" si="0"/>
        <v>Bajo</v>
      </c>
      <c r="AP35" s="18"/>
      <c r="AQ35" s="18"/>
      <c r="AR35" s="165" t="e">
        <f>VLOOKUP(A35,#REF!,2,FALSE)</f>
        <v>#REF!</v>
      </c>
      <c r="AS35" s="57" t="s">
        <v>671</v>
      </c>
      <c r="AT35" s="94" t="s">
        <v>672</v>
      </c>
      <c r="AU35" s="98" t="s">
        <v>673</v>
      </c>
      <c r="AV35" s="34">
        <v>1</v>
      </c>
      <c r="AW35" s="95" t="s">
        <v>674</v>
      </c>
    </row>
    <row r="36" spans="1:50" ht="80">
      <c r="A36" s="11" t="s">
        <v>679</v>
      </c>
      <c r="B36" s="11" t="str">
        <f t="shared" ref="B36:B44" si="2">CONCATENATE(LOWER(E36),"-msa-sp-",LOWER(A36))</f>
        <v>tpr-msa-sp-wsclientes0001</v>
      </c>
      <c r="C36" s="57" t="s">
        <v>680</v>
      </c>
      <c r="D36" s="11" t="s">
        <v>59</v>
      </c>
      <c r="E36" s="114" t="str">
        <f>VLOOKUP(D36,Tribus!$A$1:$B$33,2,FALSE)</f>
        <v>tpr</v>
      </c>
      <c r="F36" s="12" t="s">
        <v>237</v>
      </c>
      <c r="G36" s="12" t="s">
        <v>238</v>
      </c>
      <c r="H36" s="12" t="s">
        <v>239</v>
      </c>
      <c r="I36" s="151" t="s">
        <v>240</v>
      </c>
      <c r="J36" s="19" t="s">
        <v>681</v>
      </c>
      <c r="K36" s="19" t="s">
        <v>682</v>
      </c>
      <c r="L36" s="15" t="s">
        <v>241</v>
      </c>
      <c r="M36" s="15">
        <v>3</v>
      </c>
      <c r="N36" s="14" t="s">
        <v>149</v>
      </c>
      <c r="O36" s="15" t="s">
        <v>505</v>
      </c>
      <c r="P36" s="15">
        <v>1</v>
      </c>
      <c r="Q36" s="14" t="s">
        <v>148</v>
      </c>
      <c r="R36" s="15" t="s">
        <v>242</v>
      </c>
      <c r="S36" s="15">
        <v>0</v>
      </c>
      <c r="T36" s="14" t="s">
        <v>148</v>
      </c>
      <c r="U36" s="84" t="s">
        <v>242</v>
      </c>
      <c r="V36" s="15"/>
      <c r="W36" s="14" t="s">
        <v>148</v>
      </c>
      <c r="X36" s="15" t="s">
        <v>683</v>
      </c>
      <c r="Y36" s="15" t="s">
        <v>684</v>
      </c>
      <c r="Z36" s="15"/>
      <c r="AA36" s="15"/>
      <c r="AB36" s="14" t="s">
        <v>148</v>
      </c>
      <c r="AC36" s="15" t="s">
        <v>677</v>
      </c>
      <c r="AD36" s="14" t="s">
        <v>149</v>
      </c>
      <c r="AE36" s="19" t="s">
        <v>685</v>
      </c>
      <c r="AF36" s="19" t="s">
        <v>686</v>
      </c>
      <c r="AG36" s="15">
        <v>0</v>
      </c>
      <c r="AH36" s="15">
        <v>5</v>
      </c>
      <c r="AI36" s="14" t="s">
        <v>150</v>
      </c>
      <c r="AJ36" s="15" t="s">
        <v>171</v>
      </c>
      <c r="AK36" s="14" t="s">
        <v>148</v>
      </c>
      <c r="AL36" s="39" t="s">
        <v>687</v>
      </c>
      <c r="AM36" s="14" t="s">
        <v>148</v>
      </c>
      <c r="AN36" s="141">
        <f>IFERROR(SUM(CHOOSE(MATCH(N36,{"Baja";"Media";"Alta"},0),1,2,3),
CHOOSE(MATCH(Q36,{"Baja";"Media";"Alta"},0),1,2,3),
CHOOSE(MATCH(T36,{"Baja";"Media";"Alta"},0),1,2,3),
CHOOSE(MATCH(W36,{"Baja";"Media";"Alta"},0),1,2,3),
CHOOSE(MATCH(AB36,{"Baja";"Media";"Alta"},0),1,2,3),
CHOOSE(MATCH(AD36,{"Baja";"Media";"Alta"},0),1,2,3),
CHOOSE(MATCH(AI36,{"Baja";"Media";"Alta"},0),1,2,3),
CHOOSE(MATCH(AK36,{"Baja";"Media";"Alta"},0),1,2,3),
CHOOSE(MATCH(AM36,{"Baja";"Media";"Alta"},0),1,2,3)),0)</f>
        <v>13</v>
      </c>
      <c r="AO36" s="67" t="str">
        <f t="shared" ref="AO36:AO37" si="3">IF(AN36=0,"Pendiente",IF(AN36&lt;=15,"Bajo",IF(AN36&lt;=21,"Medio","Alto")))</f>
        <v>Bajo</v>
      </c>
      <c r="AP36" s="18"/>
      <c r="AQ36" s="112"/>
      <c r="AR36" s="121" t="e">
        <f>VLOOKUP(A36,#REF!,2,FALSE)</f>
        <v>#REF!</v>
      </c>
      <c r="AS36" s="164" t="s">
        <v>688</v>
      </c>
      <c r="AT36" s="164" t="s">
        <v>689</v>
      </c>
      <c r="AU36" s="98" t="s">
        <v>690</v>
      </c>
      <c r="AV36" s="34">
        <v>1</v>
      </c>
      <c r="AW36" s="95" t="s">
        <v>691</v>
      </c>
    </row>
    <row r="37" spans="1:50" ht="96">
      <c r="A37" s="11" t="s">
        <v>692</v>
      </c>
      <c r="B37" s="11" t="str">
        <f t="shared" si="2"/>
        <v>tpr-msa-sp-wsclientes0003</v>
      </c>
      <c r="C37" s="57" t="s">
        <v>693</v>
      </c>
      <c r="D37" s="11" t="s">
        <v>59</v>
      </c>
      <c r="E37" s="114" t="str">
        <f>VLOOKUP(D37,Tribus!$A$1:$B$33,2,FALSE)</f>
        <v>tpr</v>
      </c>
      <c r="F37" s="12" t="s">
        <v>237</v>
      </c>
      <c r="G37" s="12" t="s">
        <v>238</v>
      </c>
      <c r="H37" s="12" t="s">
        <v>239</v>
      </c>
      <c r="I37" s="151" t="s">
        <v>240</v>
      </c>
      <c r="J37" s="19" t="s">
        <v>694</v>
      </c>
      <c r="K37" s="19" t="s">
        <v>695</v>
      </c>
      <c r="L37" s="19" t="s">
        <v>241</v>
      </c>
      <c r="M37" s="15">
        <v>1</v>
      </c>
      <c r="N37" s="14" t="s">
        <v>148</v>
      </c>
      <c r="O37" s="84" t="s">
        <v>101</v>
      </c>
      <c r="P37" s="15">
        <v>1</v>
      </c>
      <c r="Q37" s="14" t="s">
        <v>148</v>
      </c>
      <c r="R37" s="32" t="s">
        <v>696</v>
      </c>
      <c r="S37" s="15">
        <v>2</v>
      </c>
      <c r="T37" s="14" t="s">
        <v>149</v>
      </c>
      <c r="U37" s="38" t="s">
        <v>242</v>
      </c>
      <c r="V37" s="38" t="s">
        <v>492</v>
      </c>
      <c r="W37" s="14" t="s">
        <v>148</v>
      </c>
      <c r="X37" s="84" t="s">
        <v>697</v>
      </c>
      <c r="Y37" s="84" t="s">
        <v>698</v>
      </c>
      <c r="Z37" s="84" t="s">
        <v>699</v>
      </c>
      <c r="AA37" s="84">
        <v>928</v>
      </c>
      <c r="AB37" s="14" t="s">
        <v>149</v>
      </c>
      <c r="AC37" s="15" t="s">
        <v>255</v>
      </c>
      <c r="AD37" s="14" t="s">
        <v>149</v>
      </c>
      <c r="AE37" s="19" t="s">
        <v>675</v>
      </c>
      <c r="AF37" s="15" t="s">
        <v>263</v>
      </c>
      <c r="AG37" s="15" t="s">
        <v>676</v>
      </c>
      <c r="AH37" s="15">
        <v>1</v>
      </c>
      <c r="AI37" s="14" t="s">
        <v>148</v>
      </c>
      <c r="AJ37" s="15" t="s">
        <v>700</v>
      </c>
      <c r="AK37" s="14" t="s">
        <v>149</v>
      </c>
      <c r="AL37" s="40" t="s">
        <v>701</v>
      </c>
      <c r="AM37" s="14" t="s">
        <v>148</v>
      </c>
      <c r="AN37" s="141">
        <f>IFERROR(SUM(CHOOSE(MATCH(N37,{"Baja";"Media";"Alta"},0),1,2,3),
CHOOSE(MATCH(Q37,{"Baja";"Media";"Alta"},0),1,2,3),
CHOOSE(MATCH(T37,{"Baja";"Media";"Alta"},0),1,2,3),
CHOOSE(MATCH(W37,{"Baja";"Media";"Alta"},0),1,2,3),
CHOOSE(MATCH(AB37,{"Baja";"Media";"Alta"},0),1,2,3),
CHOOSE(MATCH(AD37,{"Baja";"Media";"Alta"},0),1,2,3),
CHOOSE(MATCH(AI37,{"Baja";"Media";"Alta"},0),1,2,3),
CHOOSE(MATCH(AK37,{"Baja";"Media";"Alta"},0),1,2,3),
CHOOSE(MATCH(AM37,{"Baja";"Media";"Alta"},0),1,2,3)),0)</f>
        <v>13</v>
      </c>
      <c r="AO37" s="67" t="str">
        <f t="shared" si="3"/>
        <v>Bajo</v>
      </c>
      <c r="AP37" s="18"/>
      <c r="AQ37" s="57" t="s">
        <v>702</v>
      </c>
      <c r="AR37" s="34" t="e">
        <f>VLOOKUP(A37,#REF!,2,FALSE)</f>
        <v>#REF!</v>
      </c>
      <c r="AS37" s="87" t="s">
        <v>703</v>
      </c>
      <c r="AT37" s="94" t="s">
        <v>704</v>
      </c>
      <c r="AU37" s="98" t="s">
        <v>705</v>
      </c>
      <c r="AV37" s="34">
        <v>1</v>
      </c>
      <c r="AW37" s="95" t="s">
        <v>706</v>
      </c>
      <c r="AX37" t="s">
        <v>707</v>
      </c>
    </row>
    <row r="38" spans="1:50" ht="176">
      <c r="A38" s="11" t="s">
        <v>708</v>
      </c>
      <c r="B38" s="11" t="str">
        <f t="shared" si="2"/>
        <v>tnd-msa-sp-wsclientes0006</v>
      </c>
      <c r="C38" s="57" t="s">
        <v>709</v>
      </c>
      <c r="D38" s="11" t="s">
        <v>61</v>
      </c>
      <c r="E38" s="114" t="str">
        <f>VLOOKUP(D38,Tribus!$A$1:$B$33,2,FALSE)</f>
        <v>tnd</v>
      </c>
      <c r="F38" s="12" t="s">
        <v>237</v>
      </c>
      <c r="G38" s="12" t="s">
        <v>238</v>
      </c>
      <c r="H38" s="12" t="s">
        <v>239</v>
      </c>
      <c r="I38" s="151" t="s">
        <v>240</v>
      </c>
      <c r="J38" s="19" t="s">
        <v>710</v>
      </c>
      <c r="K38" s="19" t="s">
        <v>682</v>
      </c>
      <c r="L38" s="19" t="s">
        <v>241</v>
      </c>
      <c r="M38" s="15">
        <v>3</v>
      </c>
      <c r="N38" s="14" t="s">
        <v>149</v>
      </c>
      <c r="O38" s="19" t="s">
        <v>711</v>
      </c>
      <c r="P38" s="15">
        <v>2</v>
      </c>
      <c r="Q38" s="14" t="s">
        <v>149</v>
      </c>
      <c r="R38" s="15" t="s">
        <v>242</v>
      </c>
      <c r="S38" s="15">
        <v>0</v>
      </c>
      <c r="T38" s="14" t="s">
        <v>148</v>
      </c>
      <c r="U38" s="84" t="s">
        <v>242</v>
      </c>
      <c r="V38" s="15"/>
      <c r="W38" s="14" t="s">
        <v>148</v>
      </c>
      <c r="X38" s="15" t="s">
        <v>712</v>
      </c>
      <c r="Y38" s="15" t="s">
        <v>713</v>
      </c>
      <c r="Z38" s="15"/>
      <c r="AA38" s="15"/>
      <c r="AB38" s="14" t="s">
        <v>149</v>
      </c>
      <c r="AC38" s="15" t="s">
        <v>677</v>
      </c>
      <c r="AD38" s="14" t="s">
        <v>149</v>
      </c>
      <c r="AE38" s="19" t="s">
        <v>714</v>
      </c>
      <c r="AF38" s="19" t="s">
        <v>715</v>
      </c>
      <c r="AG38" s="19" t="s">
        <v>716</v>
      </c>
      <c r="AH38" s="15">
        <v>10</v>
      </c>
      <c r="AI38" s="14" t="s">
        <v>150</v>
      </c>
      <c r="AJ38" s="15" t="s">
        <v>242</v>
      </c>
      <c r="AK38" s="14" t="s">
        <v>148</v>
      </c>
      <c r="AL38" s="39" t="s">
        <v>717</v>
      </c>
      <c r="AM38" s="14" t="s">
        <v>148</v>
      </c>
      <c r="AN38" s="141">
        <f>IFERROR(SUM(CHOOSE(MATCH(N38,{"Baja";"Media";"Alta"},0),1,2,3),
CHOOSE(MATCH(Q38,{"Baja";"Media";"Alta"},0),1,2,3),
CHOOSE(MATCH(T38,{"Baja";"Media";"Alta"},0),1,2,3),
CHOOSE(MATCH(W38,{"Baja";"Media";"Alta"},0),1,2,3),
CHOOSE(MATCH(AB38,{"Baja";"Media";"Alta"},0),1,2,3),
CHOOSE(MATCH(AD38,{"Baja";"Media";"Alta"},0),1,2,3),
CHOOSE(MATCH(AI38,{"Baja";"Media";"Alta"},0),1,2,3),
CHOOSE(MATCH(AK38,{"Baja";"Media";"Alta"},0),1,2,3),
CHOOSE(MATCH(AM38,{"Baja";"Media";"Alta"},0),1,2,3)),0)</f>
        <v>15</v>
      </c>
      <c r="AO38" s="67" t="str">
        <f t="shared" ref="AO38:AO42" si="4">IF(AN38=0,"Pendiente",IF(AN38&lt;=15,"Bajo",IF(AN38&lt;=21,"Medio","Alto")))</f>
        <v>Bajo</v>
      </c>
      <c r="AP38" s="18"/>
      <c r="AQ38" s="11"/>
      <c r="AR38" s="34" t="e">
        <f>VLOOKUP(A38,#REF!,2,FALSE)</f>
        <v>#REF!</v>
      </c>
      <c r="AS38" s="87" t="s">
        <v>718</v>
      </c>
      <c r="AT38" s="94" t="s">
        <v>719</v>
      </c>
      <c r="AU38" s="98" t="s">
        <v>720</v>
      </c>
      <c r="AV38" s="34">
        <v>1</v>
      </c>
      <c r="AW38" s="95" t="s">
        <v>721</v>
      </c>
    </row>
    <row r="39" spans="1:50" ht="409.6">
      <c r="A39" s="11" t="s">
        <v>722</v>
      </c>
      <c r="B39" s="11" t="str">
        <f t="shared" si="2"/>
        <v>tnd-msa-sp-wsclientes0007</v>
      </c>
      <c r="C39" s="57" t="s">
        <v>723</v>
      </c>
      <c r="D39" s="11" t="s">
        <v>61</v>
      </c>
      <c r="E39" s="114" t="str">
        <f>VLOOKUP(D39,Tribus!$A$1:$B$33,2,FALSE)</f>
        <v>tnd</v>
      </c>
      <c r="F39" s="12" t="s">
        <v>237</v>
      </c>
      <c r="G39" s="12" t="s">
        <v>238</v>
      </c>
      <c r="H39" s="97" t="s">
        <v>239</v>
      </c>
      <c r="I39" s="151" t="s">
        <v>240</v>
      </c>
      <c r="J39" s="48" t="s">
        <v>724</v>
      </c>
      <c r="K39" s="48" t="s">
        <v>725</v>
      </c>
      <c r="L39" s="48" t="s">
        <v>241</v>
      </c>
      <c r="M39" s="15">
        <v>5</v>
      </c>
      <c r="N39" s="14" t="s">
        <v>150</v>
      </c>
      <c r="O39" s="19" t="s">
        <v>726</v>
      </c>
      <c r="P39" s="15">
        <v>2</v>
      </c>
      <c r="Q39" s="14" t="s">
        <v>149</v>
      </c>
      <c r="R39" s="15" t="s">
        <v>242</v>
      </c>
      <c r="S39" s="15">
        <v>0</v>
      </c>
      <c r="T39" s="14" t="s">
        <v>148</v>
      </c>
      <c r="U39" s="38" t="s">
        <v>242</v>
      </c>
      <c r="V39" s="38"/>
      <c r="W39" s="14" t="s">
        <v>148</v>
      </c>
      <c r="X39" s="15" t="s">
        <v>727</v>
      </c>
      <c r="Y39" s="15" t="s">
        <v>728</v>
      </c>
      <c r="Z39" s="15"/>
      <c r="AA39" s="15"/>
      <c r="AB39" s="14" t="s">
        <v>149</v>
      </c>
      <c r="AC39" s="15" t="s">
        <v>677</v>
      </c>
      <c r="AD39" s="14" t="s">
        <v>149</v>
      </c>
      <c r="AE39" s="19" t="s">
        <v>729</v>
      </c>
      <c r="AF39" s="19" t="s">
        <v>730</v>
      </c>
      <c r="AG39" s="19" t="s">
        <v>731</v>
      </c>
      <c r="AH39" s="15">
        <v>34</v>
      </c>
      <c r="AI39" s="14" t="s">
        <v>150</v>
      </c>
      <c r="AJ39" s="15" t="s">
        <v>171</v>
      </c>
      <c r="AK39" s="14" t="s">
        <v>148</v>
      </c>
      <c r="AL39" s="39" t="s">
        <v>732</v>
      </c>
      <c r="AM39" s="14" t="s">
        <v>148</v>
      </c>
      <c r="AN39" s="141">
        <f>IFERROR(SUM(CHOOSE(MATCH(N39,{"Baja";"Media";"Alta"},0),1,2,3),
CHOOSE(MATCH(Q39,{"Baja";"Media";"Alta"},0),1,2,3),
CHOOSE(MATCH(T39,{"Baja";"Media";"Alta"},0),1,2,3),
CHOOSE(MATCH(W39,{"Baja";"Media";"Alta"},0),1,2,3),
CHOOSE(MATCH(AB39,{"Baja";"Media";"Alta"},0),1,2,3),
CHOOSE(MATCH(AD39,{"Baja";"Media";"Alta"},0),1,2,3),
CHOOSE(MATCH(AI39,{"Baja";"Media";"Alta"},0),1,2,3),
CHOOSE(MATCH(AK39,{"Baja";"Media";"Alta"},0),1,2,3),
CHOOSE(MATCH(AM39,{"Baja";"Media";"Alta"},0),1,2,3)),0)</f>
        <v>16</v>
      </c>
      <c r="AO39" s="67" t="str">
        <f t="shared" si="4"/>
        <v>Medio</v>
      </c>
      <c r="AP39" s="18"/>
      <c r="AQ39" s="11" t="s">
        <v>733</v>
      </c>
      <c r="AR39" s="34" t="e">
        <f>VLOOKUP(A39,#REF!,2,FALSE)</f>
        <v>#REF!</v>
      </c>
      <c r="AS39" s="87" t="s">
        <v>734</v>
      </c>
      <c r="AT39" s="94" t="s">
        <v>735</v>
      </c>
      <c r="AU39" s="98" t="s">
        <v>736</v>
      </c>
      <c r="AV39" s="34">
        <v>1</v>
      </c>
      <c r="AW39" s="95" t="s">
        <v>737</v>
      </c>
    </row>
    <row r="40" spans="1:50" ht="48">
      <c r="A40" s="66" t="s">
        <v>738</v>
      </c>
      <c r="B40" s="11" t="str">
        <f t="shared" si="2"/>
        <v>tnd-msa-sp-wsclientes0011</v>
      </c>
      <c r="C40" s="57" t="s">
        <v>739</v>
      </c>
      <c r="D40" s="11" t="s">
        <v>61</v>
      </c>
      <c r="E40" s="114" t="str">
        <f>VLOOKUP(D40,Tribus!$A$1:$B$33,2,FALSE)</f>
        <v>tnd</v>
      </c>
      <c r="F40" s="12" t="s">
        <v>237</v>
      </c>
      <c r="G40" s="12" t="s">
        <v>238</v>
      </c>
      <c r="H40" s="12" t="s">
        <v>239</v>
      </c>
      <c r="I40" s="151" t="s">
        <v>240</v>
      </c>
      <c r="J40" s="19" t="s">
        <v>740</v>
      </c>
      <c r="K40" s="48" t="s">
        <v>725</v>
      </c>
      <c r="L40" s="15" t="s">
        <v>241</v>
      </c>
      <c r="M40" s="15">
        <v>1</v>
      </c>
      <c r="N40" s="14" t="s">
        <v>148</v>
      </c>
      <c r="O40" s="15" t="s">
        <v>741</v>
      </c>
      <c r="P40" s="15">
        <v>2</v>
      </c>
      <c r="Q40" s="14" t="s">
        <v>149</v>
      </c>
      <c r="R40" s="15" t="s">
        <v>456</v>
      </c>
      <c r="S40" s="15">
        <v>0</v>
      </c>
      <c r="T40" s="14" t="s">
        <v>148</v>
      </c>
      <c r="U40" s="84" t="s">
        <v>242</v>
      </c>
      <c r="V40" s="15"/>
      <c r="W40" s="14" t="s">
        <v>148</v>
      </c>
      <c r="X40" s="15" t="s">
        <v>742</v>
      </c>
      <c r="Y40" s="15" t="s">
        <v>743</v>
      </c>
      <c r="Z40" s="15"/>
      <c r="AA40" s="15"/>
      <c r="AB40" s="14" t="s">
        <v>148</v>
      </c>
      <c r="AC40" s="15" t="s">
        <v>677</v>
      </c>
      <c r="AD40" s="14" t="s">
        <v>149</v>
      </c>
      <c r="AE40" s="19" t="s">
        <v>744</v>
      </c>
      <c r="AF40" s="19" t="s">
        <v>745</v>
      </c>
      <c r="AG40" s="15"/>
      <c r="AH40" s="15">
        <v>2</v>
      </c>
      <c r="AI40" s="14" t="s">
        <v>148</v>
      </c>
      <c r="AJ40" s="15" t="s">
        <v>456</v>
      </c>
      <c r="AK40" s="14" t="s">
        <v>148</v>
      </c>
      <c r="AL40" s="39" t="s">
        <v>746</v>
      </c>
      <c r="AM40" s="14" t="s">
        <v>148</v>
      </c>
      <c r="AN40" s="141">
        <f>IFERROR(SUM(CHOOSE(MATCH(N40,{"Baja";"Media";"Alta"},0),1,2,3),
CHOOSE(MATCH(Q40,{"Baja";"Media";"Alta"},0),1,2,3),
CHOOSE(MATCH(T40,{"Baja";"Media";"Alta"},0),1,2,3),
CHOOSE(MATCH(W40,{"Baja";"Media";"Alta"},0),1,2,3),
CHOOSE(MATCH(AB40,{"Baja";"Media";"Alta"},0),1,2,3),
CHOOSE(MATCH(AD40,{"Baja";"Media";"Alta"},0),1,2,3),
CHOOSE(MATCH(AI40,{"Baja";"Media";"Alta"},0),1,2,3),
CHOOSE(MATCH(AK40,{"Baja";"Media";"Alta"},0),1,2,3),
CHOOSE(MATCH(AM40,{"Baja";"Media";"Alta"},0),1,2,3)),0)</f>
        <v>11</v>
      </c>
      <c r="AO40" s="67" t="str">
        <f t="shared" si="4"/>
        <v>Bajo</v>
      </c>
      <c r="AP40" s="18"/>
      <c r="AQ40" s="11"/>
      <c r="AR40" s="34" t="e">
        <f>VLOOKUP(A40,#REF!,2,FALSE)</f>
        <v>#REF!</v>
      </c>
      <c r="AS40" s="57" t="s">
        <v>747</v>
      </c>
      <c r="AT40" s="87" t="s">
        <v>748</v>
      </c>
      <c r="AU40" s="98" t="s">
        <v>749</v>
      </c>
      <c r="AV40" s="34">
        <v>1</v>
      </c>
      <c r="AW40" s="95" t="s">
        <v>750</v>
      </c>
    </row>
    <row r="41" spans="1:50" ht="48">
      <c r="A41" s="11" t="s">
        <v>751</v>
      </c>
      <c r="B41" s="11" t="str">
        <f t="shared" si="2"/>
        <v>tnd-msa-sp-wsclientes0012</v>
      </c>
      <c r="C41" s="57" t="s">
        <v>752</v>
      </c>
      <c r="D41" s="11" t="s">
        <v>61</v>
      </c>
      <c r="E41" s="114" t="str">
        <f>VLOOKUP(D41,Tribus!$A$1:$B$33,2,FALSE)</f>
        <v>tnd</v>
      </c>
      <c r="F41" s="12" t="s">
        <v>237</v>
      </c>
      <c r="G41" s="12" t="s">
        <v>238</v>
      </c>
      <c r="H41" s="12" t="s">
        <v>239</v>
      </c>
      <c r="I41" s="151" t="s">
        <v>240</v>
      </c>
      <c r="J41" s="15" t="s">
        <v>753</v>
      </c>
      <c r="K41" s="48" t="s">
        <v>725</v>
      </c>
      <c r="L41" s="15" t="s">
        <v>241</v>
      </c>
      <c r="M41" s="15">
        <v>1</v>
      </c>
      <c r="N41" s="14" t="s">
        <v>148</v>
      </c>
      <c r="O41" s="19" t="s">
        <v>754</v>
      </c>
      <c r="P41" s="15">
        <v>2</v>
      </c>
      <c r="Q41" s="14" t="s">
        <v>149</v>
      </c>
      <c r="R41" s="15" t="s">
        <v>242</v>
      </c>
      <c r="S41" s="15">
        <v>0</v>
      </c>
      <c r="T41" s="14" t="s">
        <v>148</v>
      </c>
      <c r="U41" s="84" t="s">
        <v>242</v>
      </c>
      <c r="V41" s="15"/>
      <c r="W41" s="14" t="s">
        <v>148</v>
      </c>
      <c r="X41" s="15" t="s">
        <v>755</v>
      </c>
      <c r="Y41" s="15" t="s">
        <v>756</v>
      </c>
      <c r="Z41" s="15"/>
      <c r="AA41" s="15"/>
      <c r="AB41" s="14" t="s">
        <v>148</v>
      </c>
      <c r="AC41" s="15" t="s">
        <v>677</v>
      </c>
      <c r="AD41" s="14" t="s">
        <v>149</v>
      </c>
      <c r="AE41" s="13"/>
      <c r="AF41" s="19" t="s">
        <v>757</v>
      </c>
      <c r="AG41" s="15"/>
      <c r="AH41" s="15">
        <v>2</v>
      </c>
      <c r="AI41" s="14" t="s">
        <v>149</v>
      </c>
      <c r="AJ41" s="15" t="s">
        <v>242</v>
      </c>
      <c r="AK41" s="14" t="s">
        <v>148</v>
      </c>
      <c r="AL41" s="39" t="s">
        <v>758</v>
      </c>
      <c r="AM41" s="14" t="s">
        <v>148</v>
      </c>
      <c r="AN41" s="141">
        <f>IFERROR(SUM(CHOOSE(MATCH(N41,{"Baja";"Media";"Alta"},0),1,2,3),
CHOOSE(MATCH(Q41,{"Baja";"Media";"Alta"},0),1,2,3),
CHOOSE(MATCH(T41,{"Baja";"Media";"Alta"},0),1,2,3),
CHOOSE(MATCH(W41,{"Baja";"Media";"Alta"},0),1,2,3),
CHOOSE(MATCH(AB41,{"Baja";"Media";"Alta"},0),1,2,3),
CHOOSE(MATCH(AD41,{"Baja";"Media";"Alta"},0),1,2,3),
CHOOSE(MATCH(AI41,{"Baja";"Media";"Alta"},0),1,2,3),
CHOOSE(MATCH(AK41,{"Baja";"Media";"Alta"},0),1,2,3),
CHOOSE(MATCH(AM41,{"Baja";"Media";"Alta"},0),1,2,3)),0)</f>
        <v>12</v>
      </c>
      <c r="AO41" s="67" t="str">
        <f t="shared" si="4"/>
        <v>Bajo</v>
      </c>
      <c r="AP41" s="18"/>
      <c r="AQ41" s="11"/>
      <c r="AR41" s="34" t="e">
        <f>VLOOKUP(A41,#REF!,2,FALSE)</f>
        <v>#REF!</v>
      </c>
      <c r="AS41" s="87" t="s">
        <v>759</v>
      </c>
      <c r="AT41" s="94" t="s">
        <v>760</v>
      </c>
      <c r="AU41" s="98" t="s">
        <v>761</v>
      </c>
      <c r="AV41" s="34">
        <v>1</v>
      </c>
      <c r="AW41" s="95" t="s">
        <v>762</v>
      </c>
    </row>
    <row r="42" spans="1:50" ht="176">
      <c r="A42" s="11" t="s">
        <v>763</v>
      </c>
      <c r="B42" s="11" t="str">
        <f t="shared" si="2"/>
        <v>tnd-msa-sp-wsclientes0013</v>
      </c>
      <c r="C42" s="57" t="s">
        <v>764</v>
      </c>
      <c r="D42" s="11" t="s">
        <v>61</v>
      </c>
      <c r="E42" s="114" t="str">
        <f>VLOOKUP(D42,Tribus!$A$1:$B$33,2,FALSE)</f>
        <v>tnd</v>
      </c>
      <c r="F42" s="12" t="s">
        <v>237</v>
      </c>
      <c r="G42" s="12" t="s">
        <v>238</v>
      </c>
      <c r="H42" s="12" t="s">
        <v>239</v>
      </c>
      <c r="I42" s="151" t="s">
        <v>240</v>
      </c>
      <c r="J42" s="19" t="s">
        <v>765</v>
      </c>
      <c r="K42" s="48" t="s">
        <v>725</v>
      </c>
      <c r="L42" s="19" t="s">
        <v>241</v>
      </c>
      <c r="M42" s="15">
        <v>1</v>
      </c>
      <c r="N42" s="14" t="s">
        <v>148</v>
      </c>
      <c r="O42" s="53" t="s">
        <v>505</v>
      </c>
      <c r="P42" s="15">
        <v>1</v>
      </c>
      <c r="Q42" s="14" t="s">
        <v>148</v>
      </c>
      <c r="R42" s="15" t="s">
        <v>242</v>
      </c>
      <c r="S42" s="15">
        <v>0</v>
      </c>
      <c r="T42" s="14" t="s">
        <v>148</v>
      </c>
      <c r="U42" s="38" t="s">
        <v>242</v>
      </c>
      <c r="V42" s="38"/>
      <c r="W42" s="14" t="s">
        <v>148</v>
      </c>
      <c r="X42" s="15" t="s">
        <v>766</v>
      </c>
      <c r="Y42" s="15" t="s">
        <v>767</v>
      </c>
      <c r="Z42" s="15"/>
      <c r="AA42" s="15"/>
      <c r="AB42" s="14" t="s">
        <v>148</v>
      </c>
      <c r="AC42" s="15" t="s">
        <v>677</v>
      </c>
      <c r="AD42" s="14" t="s">
        <v>149</v>
      </c>
      <c r="AE42" s="13"/>
      <c r="AF42" s="19" t="s">
        <v>768</v>
      </c>
      <c r="AG42" s="15" t="s">
        <v>769</v>
      </c>
      <c r="AH42" s="15">
        <v>2</v>
      </c>
      <c r="AI42" s="14" t="s">
        <v>149</v>
      </c>
      <c r="AJ42" s="15" t="s">
        <v>171</v>
      </c>
      <c r="AK42" s="14" t="s">
        <v>148</v>
      </c>
      <c r="AL42" s="39" t="s">
        <v>770</v>
      </c>
      <c r="AM42" s="14" t="s">
        <v>148</v>
      </c>
      <c r="AN42" s="141">
        <f>IFERROR(SUM(CHOOSE(MATCH(N42,{"Baja";"Media";"Alta"},0),1,2,3),
CHOOSE(MATCH(Q42,{"Baja";"Media";"Alta"},0),1,2,3),
CHOOSE(MATCH(T42,{"Baja";"Media";"Alta"},0),1,2,3),
CHOOSE(MATCH(W42,{"Baja";"Media";"Alta"},0),1,2,3),
CHOOSE(MATCH(AB42,{"Baja";"Media";"Alta"},0),1,2,3),
CHOOSE(MATCH(AD42,{"Baja";"Media";"Alta"},0),1,2,3),
CHOOSE(MATCH(AI42,{"Baja";"Media";"Alta"},0),1,2,3),
CHOOSE(MATCH(AK42,{"Baja";"Media";"Alta"},0),1,2,3),
CHOOSE(MATCH(AM42,{"Baja";"Media";"Alta"},0),1,2,3)),0)</f>
        <v>11</v>
      </c>
      <c r="AO42" s="67" t="str">
        <f t="shared" si="4"/>
        <v>Bajo</v>
      </c>
      <c r="AP42" s="18"/>
      <c r="AQ42" s="11"/>
      <c r="AR42" s="34" t="e">
        <f>VLOOKUP(A42,#REF!,2,FALSE)</f>
        <v>#REF!</v>
      </c>
      <c r="AS42" s="87" t="s">
        <v>771</v>
      </c>
      <c r="AT42" s="94" t="s">
        <v>772</v>
      </c>
      <c r="AU42" s="98" t="s">
        <v>773</v>
      </c>
      <c r="AV42" s="34">
        <v>1</v>
      </c>
      <c r="AW42" s="95" t="s">
        <v>774</v>
      </c>
    </row>
    <row r="43" spans="1:50" ht="160">
      <c r="A43" s="15" t="s">
        <v>776</v>
      </c>
      <c r="B43" s="11" t="str">
        <f t="shared" si="2"/>
        <v>tnd-msa-sp-wsclientes0015</v>
      </c>
      <c r="C43" s="57" t="s">
        <v>777</v>
      </c>
      <c r="D43" s="11" t="s">
        <v>61</v>
      </c>
      <c r="E43" s="114" t="str">
        <f>VLOOKUP(D43,Tribus!$A$1:$B$33,2,FALSE)</f>
        <v>tnd</v>
      </c>
      <c r="F43" s="12" t="s">
        <v>237</v>
      </c>
      <c r="G43" s="12" t="s">
        <v>238</v>
      </c>
      <c r="H43" s="12" t="s">
        <v>239</v>
      </c>
      <c r="I43" s="151" t="s">
        <v>240</v>
      </c>
      <c r="J43" s="19" t="s">
        <v>778</v>
      </c>
      <c r="K43" s="48" t="s">
        <v>725</v>
      </c>
      <c r="L43" s="19" t="s">
        <v>241</v>
      </c>
      <c r="M43" s="15">
        <v>5</v>
      </c>
      <c r="N43" s="14" t="s">
        <v>150</v>
      </c>
      <c r="O43" s="15" t="s">
        <v>505</v>
      </c>
      <c r="P43" s="15">
        <v>1</v>
      </c>
      <c r="Q43" s="14" t="s">
        <v>148</v>
      </c>
      <c r="R43" s="15" t="s">
        <v>242</v>
      </c>
      <c r="S43" s="15">
        <v>0</v>
      </c>
      <c r="T43" s="14" t="s">
        <v>148</v>
      </c>
      <c r="U43" s="38" t="s">
        <v>242</v>
      </c>
      <c r="V43" s="38"/>
      <c r="W43" s="14" t="s">
        <v>148</v>
      </c>
      <c r="X43" s="15" t="s">
        <v>779</v>
      </c>
      <c r="Y43" s="15" t="s">
        <v>780</v>
      </c>
      <c r="Z43" s="15"/>
      <c r="AA43" s="15"/>
      <c r="AB43" s="14" t="s">
        <v>149</v>
      </c>
      <c r="AC43" s="15" t="s">
        <v>677</v>
      </c>
      <c r="AD43" s="14" t="s">
        <v>149</v>
      </c>
      <c r="AE43" s="19"/>
      <c r="AF43" s="19" t="s">
        <v>781</v>
      </c>
      <c r="AG43" s="15"/>
      <c r="AH43" s="15">
        <v>2</v>
      </c>
      <c r="AI43" s="14" t="s">
        <v>149</v>
      </c>
      <c r="AJ43" s="15" t="s">
        <v>171</v>
      </c>
      <c r="AK43" s="14" t="s">
        <v>148</v>
      </c>
      <c r="AL43" s="50" t="s">
        <v>782</v>
      </c>
      <c r="AM43" s="14" t="s">
        <v>150</v>
      </c>
      <c r="AN43" s="141">
        <f>IFERROR(SUM(CHOOSE(MATCH(N43,{"Baja";"Media";"Alta"},0),1,2,3),
CHOOSE(MATCH(Q43,{"Baja";"Media";"Alta"},0),1,2,3),
CHOOSE(MATCH(T43,{"Baja";"Media";"Alta"},0),1,2,3),
CHOOSE(MATCH(W43,{"Baja";"Media";"Alta"},0),1,2,3),
CHOOSE(MATCH(AB43,{"Baja";"Media";"Alta"},0),1,2,3),
CHOOSE(MATCH(AD43,{"Baja";"Media";"Alta"},0),1,2,3),
CHOOSE(MATCH(AI43,{"Baja";"Media";"Alta"},0),1,2,3),
CHOOSE(MATCH(AK43,{"Baja";"Media";"Alta"},0),1,2,3),
CHOOSE(MATCH(AM43,{"Baja";"Media";"Alta"},0),1,2,3)),0)</f>
        <v>16</v>
      </c>
      <c r="AO43" s="67" t="str">
        <f t="shared" ref="AO43:AO44" si="5">IF(AN43=0,"Pendiente",IF(AN43&lt;=15,"Bajo",IF(AN43&lt;=21,"Medio","Alto")))</f>
        <v>Medio</v>
      </c>
      <c r="AP43" s="18"/>
      <c r="AQ43" s="11"/>
      <c r="AR43" s="34" t="e">
        <f>VLOOKUP(A43,#REF!,2,FALSE)</f>
        <v>#REF!</v>
      </c>
      <c r="AS43" s="88" t="s">
        <v>783</v>
      </c>
      <c r="AT43" s="94" t="s">
        <v>784</v>
      </c>
      <c r="AU43" s="98" t="s">
        <v>785</v>
      </c>
      <c r="AV43" s="34">
        <v>1</v>
      </c>
      <c r="AW43" s="95" t="s">
        <v>786</v>
      </c>
    </row>
    <row r="44" spans="1:50" ht="80">
      <c r="A44" s="11" t="s">
        <v>787</v>
      </c>
      <c r="B44" s="11" t="str">
        <f t="shared" si="2"/>
        <v>tnd-msa-sp-wsclientes0020</v>
      </c>
      <c r="C44" s="57" t="s">
        <v>788</v>
      </c>
      <c r="D44" s="11" t="s">
        <v>61</v>
      </c>
      <c r="E44" s="114" t="str">
        <f>VLOOKUP(D44,Tribus!$A$1:$B$33,2,FALSE)</f>
        <v>tnd</v>
      </c>
      <c r="F44" s="12" t="s">
        <v>237</v>
      </c>
      <c r="G44" s="12" t="s">
        <v>238</v>
      </c>
      <c r="H44" s="12" t="s">
        <v>239</v>
      </c>
      <c r="I44" s="151" t="s">
        <v>240</v>
      </c>
      <c r="J44" s="19" t="s">
        <v>789</v>
      </c>
      <c r="K44" s="48" t="s">
        <v>725</v>
      </c>
      <c r="L44" s="19" t="s">
        <v>241</v>
      </c>
      <c r="M44" s="15">
        <v>2</v>
      </c>
      <c r="N44" s="14" t="s">
        <v>149</v>
      </c>
      <c r="O44" s="19" t="s">
        <v>505</v>
      </c>
      <c r="P44" s="15">
        <v>1</v>
      </c>
      <c r="Q44" s="14" t="s">
        <v>148</v>
      </c>
      <c r="R44" s="15" t="s">
        <v>242</v>
      </c>
      <c r="S44" s="15">
        <v>0</v>
      </c>
      <c r="T44" s="14" t="s">
        <v>148</v>
      </c>
      <c r="U44" s="38" t="s">
        <v>242</v>
      </c>
      <c r="V44" s="38"/>
      <c r="W44" s="14" t="s">
        <v>148</v>
      </c>
      <c r="X44" s="15" t="s">
        <v>790</v>
      </c>
      <c r="Y44" s="15" t="s">
        <v>791</v>
      </c>
      <c r="Z44" s="15"/>
      <c r="AA44" s="15"/>
      <c r="AB44" s="14" t="s">
        <v>148</v>
      </c>
      <c r="AC44" s="15" t="s">
        <v>677</v>
      </c>
      <c r="AD44" s="14" t="s">
        <v>149</v>
      </c>
      <c r="AE44" s="19" t="s">
        <v>792</v>
      </c>
      <c r="AF44" s="19" t="s">
        <v>793</v>
      </c>
      <c r="AG44" s="15"/>
      <c r="AH44" s="15">
        <v>5</v>
      </c>
      <c r="AI44" s="14" t="s">
        <v>150</v>
      </c>
      <c r="AJ44" s="15" t="s">
        <v>171</v>
      </c>
      <c r="AK44" s="14" t="s">
        <v>148</v>
      </c>
      <c r="AL44" s="39" t="s">
        <v>286</v>
      </c>
      <c r="AM44" s="14" t="s">
        <v>148</v>
      </c>
      <c r="AN44" s="141">
        <f>IFERROR(SUM(CHOOSE(MATCH(N44,{"Baja";"Media";"Alta"},0),1,2,3),
CHOOSE(MATCH(Q44,{"Baja";"Media";"Alta"},0),1,2,3),
CHOOSE(MATCH(T44,{"Baja";"Media";"Alta"},0),1,2,3),
CHOOSE(MATCH(W44,{"Baja";"Media";"Alta"},0),1,2,3),
CHOOSE(MATCH(AB44,{"Baja";"Media";"Alta"},0),1,2,3),
CHOOSE(MATCH(AD44,{"Baja";"Media";"Alta"},0),1,2,3),
CHOOSE(MATCH(AI44,{"Baja";"Media";"Alta"},0),1,2,3),
CHOOSE(MATCH(AK44,{"Baja";"Media";"Alta"},0),1,2,3),
CHOOSE(MATCH(AM44,{"Baja";"Media";"Alta"},0),1,2,3)),0)</f>
        <v>13</v>
      </c>
      <c r="AO44" s="67" t="str">
        <f t="shared" si="5"/>
        <v>Bajo</v>
      </c>
      <c r="AP44" s="18"/>
      <c r="AQ44" s="11"/>
      <c r="AR44" s="34" t="e">
        <f>VLOOKUP(A44,#REF!,2,FALSE)</f>
        <v>#REF!</v>
      </c>
      <c r="AS44" s="87" t="s">
        <v>794</v>
      </c>
      <c r="AT44" s="94" t="s">
        <v>795</v>
      </c>
      <c r="AU44" s="98" t="s">
        <v>796</v>
      </c>
      <c r="AV44" s="34">
        <v>1</v>
      </c>
      <c r="AW44" s="95" t="s">
        <v>797</v>
      </c>
    </row>
    <row r="45" spans="1:50" ht="105.75" customHeight="1">
      <c r="A45" s="33" t="s">
        <v>798</v>
      </c>
      <c r="B45" s="16" t="str">
        <f t="shared" ref="B45:B50" si="6">CONCATENATE(LOWER(E45),"-msa-sp-",LOWER(A45))</f>
        <v>tnd-msa-sp-wsclientes0024</v>
      </c>
      <c r="C45" s="45" t="s">
        <v>799</v>
      </c>
      <c r="D45" s="33" t="s">
        <v>61</v>
      </c>
      <c r="E45" s="34" t="str">
        <f>VLOOKUP(D45,Tribus!$A$1:$B$33,2,FALSE)</f>
        <v>tnd</v>
      </c>
      <c r="F45" s="35" t="s">
        <v>237</v>
      </c>
      <c r="G45" s="35" t="s">
        <v>238</v>
      </c>
      <c r="H45" s="35" t="s">
        <v>239</v>
      </c>
      <c r="I45" s="36" t="s">
        <v>240</v>
      </c>
      <c r="J45" s="86" t="s">
        <v>800</v>
      </c>
      <c r="K45" s="153" t="s">
        <v>801</v>
      </c>
      <c r="L45" s="22" t="s">
        <v>241</v>
      </c>
      <c r="M45" s="37">
        <v>2</v>
      </c>
      <c r="N45" s="47" t="s">
        <v>149</v>
      </c>
      <c r="O45" s="37" t="s">
        <v>101</v>
      </c>
      <c r="P45" s="37">
        <v>1</v>
      </c>
      <c r="Q45" s="47" t="s">
        <v>148</v>
      </c>
      <c r="R45" s="32" t="s">
        <v>802</v>
      </c>
      <c r="S45" s="37">
        <v>1</v>
      </c>
      <c r="T45" s="47" t="s">
        <v>149</v>
      </c>
      <c r="U45" s="38" t="s">
        <v>242</v>
      </c>
      <c r="V45" s="38"/>
      <c r="W45" s="47" t="s">
        <v>148</v>
      </c>
      <c r="X45" s="46" t="s">
        <v>803</v>
      </c>
      <c r="Y45" s="46" t="s">
        <v>804</v>
      </c>
      <c r="Z45" s="46"/>
      <c r="AA45" s="46"/>
      <c r="AB45" s="47" t="s">
        <v>150</v>
      </c>
      <c r="AC45" s="43" t="s">
        <v>677</v>
      </c>
      <c r="AD45" s="47" t="s">
        <v>149</v>
      </c>
      <c r="AE45" s="20" t="s">
        <v>59</v>
      </c>
      <c r="AF45" s="22" t="s">
        <v>805</v>
      </c>
      <c r="AG45" s="20" t="s">
        <v>806</v>
      </c>
      <c r="AH45" s="37">
        <v>28</v>
      </c>
      <c r="AI45" s="47" t="s">
        <v>150</v>
      </c>
      <c r="AJ45" s="37" t="s">
        <v>171</v>
      </c>
      <c r="AK45" s="47" t="s">
        <v>148</v>
      </c>
      <c r="AL45" s="40" t="s">
        <v>807</v>
      </c>
      <c r="AM45" s="47" t="s">
        <v>148</v>
      </c>
      <c r="AN45" s="150">
        <f>IFERROR(SUM(CHOOSE(MATCH(N45,{"Baja";"Media";"Alta"},0),1,2,3),
CHOOSE(MATCH(Q45,{"Baja";"Media";"Alta"},0),1,2,3),
CHOOSE(MATCH(T45,{"Baja";"Media";"Alta"},0),1,2,3),
CHOOSE(MATCH(W45,{"Baja";"Media";"Alta"},0),1,2,3),
CHOOSE(MATCH(AB45,{"Baja";"Media";"Alta"},0),1,2,3),
CHOOSE(MATCH(AD45,{"Baja";"Media";"Alta"},0),1,2,3),
CHOOSE(MATCH(AI45,{"Baja";"Media";"Alta"},0),1,2,3),
CHOOSE(MATCH(AK45,{"Baja";"Media";"Alta"},0),1,2,3),
CHOOSE(MATCH(AM45,{"Baja";"Media";"Alta"},0),1,2,3)),0)</f>
        <v>16</v>
      </c>
      <c r="AO45" s="67" t="str">
        <f t="shared" ref="AO45:AO50" si="7">IF(AN45=0,"Pendiente",IF(AN45&lt;=15,"Bajo",IF(AN45&lt;=21,"Medio","Alto")))</f>
        <v>Medio</v>
      </c>
      <c r="AP45" s="18"/>
      <c r="AQ45" s="51" t="s">
        <v>808</v>
      </c>
      <c r="AR45" s="34" t="e">
        <f>VLOOKUP(A45,#REF!,2,FALSE)</f>
        <v>#REF!</v>
      </c>
      <c r="AS45" s="103" t="s">
        <v>809</v>
      </c>
      <c r="AT45" s="110" t="s">
        <v>810</v>
      </c>
      <c r="AU45" s="134" t="s">
        <v>811</v>
      </c>
      <c r="AV45" s="34">
        <v>1</v>
      </c>
      <c r="AW45" s="95" t="s">
        <v>812</v>
      </c>
    </row>
    <row r="46" spans="1:50" ht="64">
      <c r="A46" s="66" t="s">
        <v>813</v>
      </c>
      <c r="B46" s="11" t="str">
        <f t="shared" si="6"/>
        <v>tpr-msa-sp-wsclientes0025</v>
      </c>
      <c r="C46" s="57" t="s">
        <v>814</v>
      </c>
      <c r="D46" s="11" t="s">
        <v>59</v>
      </c>
      <c r="E46" s="114" t="str">
        <f>VLOOKUP(D46,Tribus!$A$1:$B$33,2,FALSE)</f>
        <v>tpr</v>
      </c>
      <c r="F46" s="12" t="s">
        <v>237</v>
      </c>
      <c r="G46" s="12" t="s">
        <v>238</v>
      </c>
      <c r="H46" s="12" t="s">
        <v>239</v>
      </c>
      <c r="I46" s="151" t="s">
        <v>240</v>
      </c>
      <c r="J46" s="15" t="s">
        <v>815</v>
      </c>
      <c r="K46" s="48" t="s">
        <v>725</v>
      </c>
      <c r="L46" s="15" t="s">
        <v>241</v>
      </c>
      <c r="M46" s="15">
        <v>1</v>
      </c>
      <c r="N46" s="14" t="s">
        <v>148</v>
      </c>
      <c r="O46" s="15" t="s">
        <v>101</v>
      </c>
      <c r="P46" s="15">
        <v>1</v>
      </c>
      <c r="Q46" s="14" t="s">
        <v>148</v>
      </c>
      <c r="R46" s="15" t="s">
        <v>456</v>
      </c>
      <c r="S46" s="15">
        <v>0</v>
      </c>
      <c r="T46" s="14" t="s">
        <v>148</v>
      </c>
      <c r="U46" s="84" t="s">
        <v>242</v>
      </c>
      <c r="V46" s="15"/>
      <c r="W46" s="14" t="s">
        <v>148</v>
      </c>
      <c r="X46" s="15" t="s">
        <v>816</v>
      </c>
      <c r="Y46" s="15" t="s">
        <v>817</v>
      </c>
      <c r="Z46" s="15"/>
      <c r="AA46" s="15"/>
      <c r="AB46" s="14" t="s">
        <v>148</v>
      </c>
      <c r="AC46" s="15" t="s">
        <v>407</v>
      </c>
      <c r="AD46" s="14" t="s">
        <v>149</v>
      </c>
      <c r="AE46" s="19" t="s">
        <v>818</v>
      </c>
      <c r="AF46" s="19" t="s">
        <v>819</v>
      </c>
      <c r="AG46" s="15"/>
      <c r="AH46" s="15">
        <v>1</v>
      </c>
      <c r="AI46" s="14" t="s">
        <v>148</v>
      </c>
      <c r="AJ46" s="15" t="s">
        <v>456</v>
      </c>
      <c r="AK46" s="14" t="s">
        <v>148</v>
      </c>
      <c r="AL46" s="39" t="s">
        <v>820</v>
      </c>
      <c r="AM46" s="14" t="s">
        <v>148</v>
      </c>
      <c r="AN46" s="141">
        <f>IFERROR(SUM(CHOOSE(MATCH(N46,{"Baja";"Media";"Alta"},0),1,2,3),
CHOOSE(MATCH(Q46,{"Baja";"Media";"Alta"},0),1,2,3),
CHOOSE(MATCH(T46,{"Baja";"Media";"Alta"},0),1,2,3),
CHOOSE(MATCH(W46,{"Baja";"Media";"Alta"},0),1,2,3),
CHOOSE(MATCH(AB46,{"Baja";"Media";"Alta"},0),1,2,3),
CHOOSE(MATCH(AD46,{"Baja";"Media";"Alta"},0),1,2,3),
CHOOSE(MATCH(AI46,{"Baja";"Media";"Alta"},0),1,2,3),
CHOOSE(MATCH(AK46,{"Baja";"Media";"Alta"},0),1,2,3),
CHOOSE(MATCH(AM46,{"Baja";"Media";"Alta"},0),1,2,3)),0)</f>
        <v>10</v>
      </c>
      <c r="AO46" s="67" t="str">
        <f t="shared" si="7"/>
        <v>Bajo</v>
      </c>
      <c r="AP46" s="18"/>
      <c r="AQ46" s="57" t="s">
        <v>821</v>
      </c>
      <c r="AR46" s="34" t="e">
        <f>VLOOKUP(A46,#REF!,2,FALSE)</f>
        <v>#REF!</v>
      </c>
      <c r="AS46" s="57" t="s">
        <v>822</v>
      </c>
      <c r="AT46" s="94" t="s">
        <v>823</v>
      </c>
      <c r="AU46" s="57" t="s">
        <v>824</v>
      </c>
      <c r="AV46" s="34">
        <v>1</v>
      </c>
      <c r="AW46" s="95" t="s">
        <v>825</v>
      </c>
    </row>
    <row r="47" spans="1:50" ht="64">
      <c r="A47" s="15" t="s">
        <v>826</v>
      </c>
      <c r="B47" s="11" t="str">
        <f t="shared" si="6"/>
        <v>tnd-msa-sp-wsclientes0027</v>
      </c>
      <c r="C47" s="57" t="s">
        <v>827</v>
      </c>
      <c r="D47" s="11" t="s">
        <v>61</v>
      </c>
      <c r="E47" s="114" t="str">
        <f>VLOOKUP(D47,Tribus!$A$1:$B$33,2,FALSE)</f>
        <v>tnd</v>
      </c>
      <c r="F47" s="12" t="s">
        <v>237</v>
      </c>
      <c r="G47" s="12" t="s">
        <v>238</v>
      </c>
      <c r="H47" s="12" t="s">
        <v>239</v>
      </c>
      <c r="I47" s="151" t="s">
        <v>240</v>
      </c>
      <c r="J47" s="19" t="s">
        <v>828</v>
      </c>
      <c r="K47" s="48" t="s">
        <v>725</v>
      </c>
      <c r="L47" s="19" t="s">
        <v>241</v>
      </c>
      <c r="M47" s="15">
        <v>2</v>
      </c>
      <c r="N47" s="14" t="s">
        <v>149</v>
      </c>
      <c r="O47" s="15" t="s">
        <v>505</v>
      </c>
      <c r="P47" s="15">
        <v>1</v>
      </c>
      <c r="Q47" s="14" t="s">
        <v>148</v>
      </c>
      <c r="R47" s="15" t="s">
        <v>242</v>
      </c>
      <c r="S47" s="15">
        <v>0</v>
      </c>
      <c r="T47" s="14" t="s">
        <v>148</v>
      </c>
      <c r="U47" s="38" t="s">
        <v>242</v>
      </c>
      <c r="V47" s="38"/>
      <c r="W47" s="14" t="s">
        <v>148</v>
      </c>
      <c r="X47" s="15" t="s">
        <v>829</v>
      </c>
      <c r="Y47" s="15" t="s">
        <v>830</v>
      </c>
      <c r="Z47" s="15"/>
      <c r="AA47" s="15"/>
      <c r="AB47" s="14" t="s">
        <v>149</v>
      </c>
      <c r="AC47" s="15" t="s">
        <v>677</v>
      </c>
      <c r="AD47" s="14" t="s">
        <v>149</v>
      </c>
      <c r="AE47" s="19"/>
      <c r="AF47" s="19" t="s">
        <v>831</v>
      </c>
      <c r="AG47" s="15"/>
      <c r="AH47" s="15">
        <v>2</v>
      </c>
      <c r="AI47" s="14" t="s">
        <v>149</v>
      </c>
      <c r="AJ47" s="15" t="s">
        <v>171</v>
      </c>
      <c r="AK47" s="14" t="s">
        <v>148</v>
      </c>
      <c r="AL47" s="39" t="s">
        <v>832</v>
      </c>
      <c r="AM47" s="14" t="s">
        <v>148</v>
      </c>
      <c r="AN47" s="141">
        <f>IFERROR(SUM(CHOOSE(MATCH(N47,{"Baja";"Media";"Alta"},0),1,2,3),
CHOOSE(MATCH(Q47,{"Baja";"Media";"Alta"},0),1,2,3),
CHOOSE(MATCH(T47,{"Baja";"Media";"Alta"},0),1,2,3),
CHOOSE(MATCH(W47,{"Baja";"Media";"Alta"},0),1,2,3),
CHOOSE(MATCH(AB47,{"Baja";"Media";"Alta"},0),1,2,3),
CHOOSE(MATCH(AD47,{"Baja";"Media";"Alta"},0),1,2,3),
CHOOSE(MATCH(AI47,{"Baja";"Media";"Alta"},0),1,2,3),
CHOOSE(MATCH(AK47,{"Baja";"Media";"Alta"},0),1,2,3),
CHOOSE(MATCH(AM47,{"Baja";"Media";"Alta"},0),1,2,3)),0)</f>
        <v>13</v>
      </c>
      <c r="AO47" s="67" t="str">
        <f t="shared" si="7"/>
        <v>Bajo</v>
      </c>
      <c r="AP47" s="18"/>
      <c r="AQ47" s="11"/>
      <c r="AR47" s="34" t="e">
        <f>VLOOKUP(A47,#REF!,2,FALSE)</f>
        <v>#REF!</v>
      </c>
      <c r="AS47" s="88" t="s">
        <v>833</v>
      </c>
      <c r="AT47" s="94" t="s">
        <v>834</v>
      </c>
      <c r="AU47" s="88" t="s">
        <v>835</v>
      </c>
      <c r="AV47" s="34">
        <v>1</v>
      </c>
      <c r="AW47" s="89" t="s">
        <v>836</v>
      </c>
    </row>
    <row r="48" spans="1:50" ht="42" customHeight="1">
      <c r="A48" s="11" t="s">
        <v>837</v>
      </c>
      <c r="B48" s="11" t="str">
        <f t="shared" si="6"/>
        <v>tnd-msa-sp-wsclientes0028</v>
      </c>
      <c r="C48" s="57" t="s">
        <v>838</v>
      </c>
      <c r="D48" s="11" t="s">
        <v>61</v>
      </c>
      <c r="E48" s="114" t="str">
        <f>VLOOKUP(D48,Tribus!$A$1:$B$33,2,FALSE)</f>
        <v>tnd</v>
      </c>
      <c r="F48" s="12" t="s">
        <v>237</v>
      </c>
      <c r="G48" s="12" t="s">
        <v>238</v>
      </c>
      <c r="H48" s="12" t="s">
        <v>239</v>
      </c>
      <c r="I48" s="151" t="s">
        <v>240</v>
      </c>
      <c r="J48" s="19" t="s">
        <v>839</v>
      </c>
      <c r="K48" s="48" t="s">
        <v>775</v>
      </c>
      <c r="L48" s="15" t="s">
        <v>241</v>
      </c>
      <c r="M48" s="15">
        <v>1</v>
      </c>
      <c r="N48" s="14" t="s">
        <v>148</v>
      </c>
      <c r="O48" s="84" t="s">
        <v>101</v>
      </c>
      <c r="P48" s="15">
        <v>1</v>
      </c>
      <c r="Q48" s="14" t="s">
        <v>148</v>
      </c>
      <c r="R48" s="15" t="s">
        <v>242</v>
      </c>
      <c r="S48" s="15">
        <v>0</v>
      </c>
      <c r="T48" s="14" t="s">
        <v>148</v>
      </c>
      <c r="U48" s="38" t="s">
        <v>242</v>
      </c>
      <c r="V48" s="38" t="s">
        <v>492</v>
      </c>
      <c r="W48" s="14" t="s">
        <v>148</v>
      </c>
      <c r="X48" s="84" t="s">
        <v>840</v>
      </c>
      <c r="Y48" s="84" t="s">
        <v>841</v>
      </c>
      <c r="Z48" s="84" t="s">
        <v>842</v>
      </c>
      <c r="AA48" s="84">
        <v>64</v>
      </c>
      <c r="AB48" s="14" t="s">
        <v>148</v>
      </c>
      <c r="AC48" s="15" t="s">
        <v>255</v>
      </c>
      <c r="AD48" s="14" t="s">
        <v>149</v>
      </c>
      <c r="AE48" s="19" t="s">
        <v>843</v>
      </c>
      <c r="AF48" s="19" t="s">
        <v>550</v>
      </c>
      <c r="AG48" s="15" t="s">
        <v>676</v>
      </c>
      <c r="AH48" s="15">
        <v>1</v>
      </c>
      <c r="AI48" s="14" t="s">
        <v>148</v>
      </c>
      <c r="AJ48" s="15">
        <v>0</v>
      </c>
      <c r="AK48" s="14" t="s">
        <v>148</v>
      </c>
      <c r="AL48" s="50" t="s">
        <v>844</v>
      </c>
      <c r="AM48" s="14" t="s">
        <v>150</v>
      </c>
      <c r="AN48" s="141">
        <f>IFERROR(SUM(CHOOSE(MATCH(N48,{"Baja";"Media";"Alta"},0),1,2,3),
CHOOSE(MATCH(Q48,{"Baja";"Media";"Alta"},0),1,2,3),
CHOOSE(MATCH(T48,{"Baja";"Media";"Alta"},0),1,2,3),
CHOOSE(MATCH(W48,{"Baja";"Media";"Alta"},0),1,2,3),
CHOOSE(MATCH(AB48,{"Baja";"Media";"Alta"},0),1,2,3),
CHOOSE(MATCH(AD48,{"Baja";"Media";"Alta"},0),1,2,3),
CHOOSE(MATCH(AI48,{"Baja";"Media";"Alta"},0),1,2,3),
CHOOSE(MATCH(AK48,{"Baja";"Media";"Alta"},0),1,2,3),
CHOOSE(MATCH(AM48,{"Baja";"Media";"Alta"},0),1,2,3)),0)</f>
        <v>12</v>
      </c>
      <c r="AO48" s="67" t="str">
        <f t="shared" si="7"/>
        <v>Bajo</v>
      </c>
      <c r="AP48" s="18"/>
      <c r="AQ48" s="11" t="s">
        <v>845</v>
      </c>
      <c r="AR48" s="34" t="e">
        <f>VLOOKUP(A48,#REF!,2,FALSE)</f>
        <v>#REF!</v>
      </c>
      <c r="AS48" s="87" t="s">
        <v>846</v>
      </c>
      <c r="AT48" s="94" t="s">
        <v>847</v>
      </c>
      <c r="AU48" s="87" t="s">
        <v>848</v>
      </c>
      <c r="AV48" s="34">
        <v>1</v>
      </c>
      <c r="AW48" s="95" t="s">
        <v>849</v>
      </c>
    </row>
    <row r="49" spans="1:50" ht="48">
      <c r="A49" s="11" t="s">
        <v>850</v>
      </c>
      <c r="B49" s="11" t="str">
        <f t="shared" si="6"/>
        <v>tnd-msa-sp-wsclientes0029</v>
      </c>
      <c r="C49" s="57" t="s">
        <v>851</v>
      </c>
      <c r="D49" s="11" t="s">
        <v>61</v>
      </c>
      <c r="E49" s="114" t="str">
        <f>VLOOKUP(D49,Tribus!$A$1:$B$33,2,FALSE)</f>
        <v>tnd</v>
      </c>
      <c r="F49" s="12" t="s">
        <v>237</v>
      </c>
      <c r="G49" s="12" t="s">
        <v>238</v>
      </c>
      <c r="H49" s="12" t="s">
        <v>239</v>
      </c>
      <c r="I49" s="151" t="s">
        <v>240</v>
      </c>
      <c r="J49" s="15" t="s">
        <v>852</v>
      </c>
      <c r="K49" s="48" t="s">
        <v>725</v>
      </c>
      <c r="L49" s="15" t="s">
        <v>241</v>
      </c>
      <c r="M49" s="15">
        <v>1</v>
      </c>
      <c r="N49" s="14" t="s">
        <v>148</v>
      </c>
      <c r="O49" s="15" t="s">
        <v>505</v>
      </c>
      <c r="P49" s="15">
        <v>1</v>
      </c>
      <c r="Q49" s="14" t="s">
        <v>148</v>
      </c>
      <c r="R49" s="15" t="s">
        <v>242</v>
      </c>
      <c r="S49" s="15">
        <v>0</v>
      </c>
      <c r="T49" s="14" t="s">
        <v>148</v>
      </c>
      <c r="U49" s="84" t="s">
        <v>242</v>
      </c>
      <c r="V49" s="15"/>
      <c r="W49" s="14" t="s">
        <v>148</v>
      </c>
      <c r="X49" s="15" t="s">
        <v>853</v>
      </c>
      <c r="Y49" s="15" t="s">
        <v>854</v>
      </c>
      <c r="Z49" s="15"/>
      <c r="AA49" s="15"/>
      <c r="AB49" s="14" t="s">
        <v>148</v>
      </c>
      <c r="AC49" s="15" t="s">
        <v>677</v>
      </c>
      <c r="AD49" s="14" t="s">
        <v>149</v>
      </c>
      <c r="AE49" s="13"/>
      <c r="AF49" s="15" t="s">
        <v>502</v>
      </c>
      <c r="AG49" s="15"/>
      <c r="AH49" s="15">
        <v>1</v>
      </c>
      <c r="AI49" s="14" t="s">
        <v>148</v>
      </c>
      <c r="AJ49" s="15" t="s">
        <v>242</v>
      </c>
      <c r="AK49" s="14" t="s">
        <v>148</v>
      </c>
      <c r="AL49" s="39" t="s">
        <v>855</v>
      </c>
      <c r="AM49" s="14" t="s">
        <v>148</v>
      </c>
      <c r="AN49" s="141">
        <f>IFERROR(SUM(CHOOSE(MATCH(N49,{"Baja";"Media";"Alta"},0),1,2,3),
CHOOSE(MATCH(Q49,{"Baja";"Media";"Alta"},0),1,2,3),
CHOOSE(MATCH(T49,{"Baja";"Media";"Alta"},0),1,2,3),
CHOOSE(MATCH(W49,{"Baja";"Media";"Alta"},0),1,2,3),
CHOOSE(MATCH(AB49,{"Baja";"Media";"Alta"},0),1,2,3),
CHOOSE(MATCH(AD49,{"Baja";"Media";"Alta"},0),1,2,3),
CHOOSE(MATCH(AI49,{"Baja";"Media";"Alta"},0),1,2,3),
CHOOSE(MATCH(AK49,{"Baja";"Media";"Alta"},0),1,2,3),
CHOOSE(MATCH(AM49,{"Baja";"Media";"Alta"},0),1,2,3)),0)</f>
        <v>10</v>
      </c>
      <c r="AO49" s="67" t="str">
        <f t="shared" si="7"/>
        <v>Bajo</v>
      </c>
      <c r="AP49" s="18"/>
      <c r="AQ49" s="11"/>
      <c r="AR49" s="34" t="e">
        <f>VLOOKUP(A49,#REF!,2,FALSE)</f>
        <v>#REF!</v>
      </c>
      <c r="AS49" s="94" t="s">
        <v>856</v>
      </c>
      <c r="AT49" s="94" t="s">
        <v>857</v>
      </c>
      <c r="AU49" s="87" t="s">
        <v>858</v>
      </c>
      <c r="AV49" s="34">
        <v>1</v>
      </c>
      <c r="AW49" s="95" t="s">
        <v>859</v>
      </c>
    </row>
    <row r="50" spans="1:50" ht="48.75" customHeight="1">
      <c r="A50" s="11" t="s">
        <v>860</v>
      </c>
      <c r="B50" s="11" t="str">
        <f t="shared" si="6"/>
        <v>tnd-msa-sp-wsclientes0030</v>
      </c>
      <c r="C50" s="57" t="s">
        <v>861</v>
      </c>
      <c r="D50" s="11" t="s">
        <v>61</v>
      </c>
      <c r="E50" s="114" t="str">
        <f>VLOOKUP(D50,Tribus!$A$1:$B$33,2,FALSE)</f>
        <v>tnd</v>
      </c>
      <c r="F50" s="12" t="s">
        <v>237</v>
      </c>
      <c r="G50" s="12" t="s">
        <v>238</v>
      </c>
      <c r="H50" s="12" t="s">
        <v>239</v>
      </c>
      <c r="I50" s="151" t="s">
        <v>240</v>
      </c>
      <c r="J50" s="19" t="s">
        <v>862</v>
      </c>
      <c r="K50" s="19" t="s">
        <v>863</v>
      </c>
      <c r="L50" s="19" t="s">
        <v>241</v>
      </c>
      <c r="M50" s="15">
        <v>3</v>
      </c>
      <c r="N50" s="14" t="s">
        <v>150</v>
      </c>
      <c r="O50" s="58" t="s">
        <v>505</v>
      </c>
      <c r="P50" s="15">
        <v>1</v>
      </c>
      <c r="Q50" s="14" t="s">
        <v>148</v>
      </c>
      <c r="R50" s="15" t="s">
        <v>456</v>
      </c>
      <c r="S50" s="15">
        <v>0</v>
      </c>
      <c r="T50" s="14" t="s">
        <v>148</v>
      </c>
      <c r="U50" s="84" t="s">
        <v>242</v>
      </c>
      <c r="V50" s="15"/>
      <c r="W50" s="14" t="s">
        <v>148</v>
      </c>
      <c r="X50" s="52" t="s">
        <v>864</v>
      </c>
      <c r="Y50" s="15" t="s">
        <v>713</v>
      </c>
      <c r="Z50" s="15"/>
      <c r="AA50" s="15"/>
      <c r="AB50" s="14" t="s">
        <v>148</v>
      </c>
      <c r="AC50" s="19" t="s">
        <v>865</v>
      </c>
      <c r="AD50" s="14" t="s">
        <v>149</v>
      </c>
      <c r="AE50" s="19" t="s">
        <v>866</v>
      </c>
      <c r="AF50" s="19" t="s">
        <v>865</v>
      </c>
      <c r="AG50" s="15"/>
      <c r="AH50" s="15">
        <v>6</v>
      </c>
      <c r="AI50" s="14" t="s">
        <v>150</v>
      </c>
      <c r="AJ50" s="15" t="s">
        <v>456</v>
      </c>
      <c r="AK50" s="14" t="s">
        <v>148</v>
      </c>
      <c r="AL50" s="10" t="s">
        <v>867</v>
      </c>
      <c r="AM50" s="14" t="s">
        <v>148</v>
      </c>
      <c r="AN50" s="141">
        <f>IFERROR(SUM(CHOOSE(MATCH(N50,{"Baja";"Media";"Alta"},0),1,2,3),
CHOOSE(MATCH(Q50,{"Baja";"Media";"Alta"},0),1,2,3),
CHOOSE(MATCH(T50,{"Baja";"Media";"Alta"},0),1,2,3),
CHOOSE(MATCH(W50,{"Baja";"Media";"Alta"},0),1,2,3),
CHOOSE(MATCH(AB50,{"Baja";"Media";"Alta"},0),1,2,3),
CHOOSE(MATCH(AD50,{"Baja";"Media";"Alta"},0),1,2,3),
CHOOSE(MATCH(AI50,{"Baja";"Media";"Alta"},0),1,2,3),
CHOOSE(MATCH(AK50,{"Baja";"Media";"Alta"},0),1,2,3),
CHOOSE(MATCH(AM50,{"Baja";"Media";"Alta"},0),1,2,3)),0)</f>
        <v>14</v>
      </c>
      <c r="AO50" s="67" t="str">
        <f t="shared" si="7"/>
        <v>Bajo</v>
      </c>
      <c r="AP50" s="18"/>
      <c r="AQ50" s="11" t="s">
        <v>868</v>
      </c>
      <c r="AR50" s="34" t="e">
        <f>VLOOKUP(A50,#REF!,2,FALSE)</f>
        <v>#REF!</v>
      </c>
      <c r="AS50" s="87" t="s">
        <v>869</v>
      </c>
      <c r="AT50" s="94" t="s">
        <v>870</v>
      </c>
      <c r="AU50" s="57" t="s">
        <v>871</v>
      </c>
      <c r="AV50" s="34">
        <v>1</v>
      </c>
      <c r="AW50" s="95" t="s">
        <v>872</v>
      </c>
    </row>
    <row r="51" spans="1:50" ht="41.5" customHeight="1">
      <c r="A51" s="11" t="s">
        <v>873</v>
      </c>
      <c r="B51" s="11" t="str">
        <f t="shared" ref="B51:B54" si="8">CONCATENATE(LOWER(E51),"-msa-sp-",LOWER(A51))</f>
        <v>tnd-msa-sp-wsclientes0037</v>
      </c>
      <c r="C51" s="91" t="s">
        <v>874</v>
      </c>
      <c r="D51" s="11" t="s">
        <v>61</v>
      </c>
      <c r="E51" s="114" t="str">
        <f>VLOOKUP(D51,Tribus!$A$1:$B$33,2,FALSE)</f>
        <v>tnd</v>
      </c>
      <c r="F51" s="12" t="s">
        <v>237</v>
      </c>
      <c r="G51" s="12" t="s">
        <v>238</v>
      </c>
      <c r="H51" s="12" t="s">
        <v>239</v>
      </c>
      <c r="I51" s="151" t="s">
        <v>240</v>
      </c>
      <c r="J51" s="19" t="s">
        <v>875</v>
      </c>
      <c r="K51" s="19" t="s">
        <v>876</v>
      </c>
      <c r="L51" s="19" t="s">
        <v>877</v>
      </c>
      <c r="M51" s="15">
        <v>2</v>
      </c>
      <c r="N51" s="14" t="s">
        <v>149</v>
      </c>
      <c r="O51" s="53" t="s">
        <v>505</v>
      </c>
      <c r="P51" s="15">
        <v>1</v>
      </c>
      <c r="Q51" s="14" t="s">
        <v>148</v>
      </c>
      <c r="R51" s="15" t="s">
        <v>242</v>
      </c>
      <c r="S51" s="15">
        <v>0</v>
      </c>
      <c r="T51" s="14" t="s">
        <v>148</v>
      </c>
      <c r="U51" s="38" t="s">
        <v>242</v>
      </c>
      <c r="V51" s="38"/>
      <c r="W51" s="14" t="s">
        <v>148</v>
      </c>
      <c r="X51" s="15">
        <v>500</v>
      </c>
      <c r="Y51" s="15" t="s">
        <v>878</v>
      </c>
      <c r="Z51" s="15"/>
      <c r="AA51" s="15"/>
      <c r="AB51" s="14" t="s">
        <v>149</v>
      </c>
      <c r="AC51" s="15" t="s">
        <v>677</v>
      </c>
      <c r="AD51" s="14" t="s">
        <v>149</v>
      </c>
      <c r="AE51" s="13"/>
      <c r="AF51" s="15" t="s">
        <v>322</v>
      </c>
      <c r="AG51" s="15" t="s">
        <v>769</v>
      </c>
      <c r="AH51" s="15">
        <v>1</v>
      </c>
      <c r="AI51" s="14" t="s">
        <v>148</v>
      </c>
      <c r="AJ51" s="15" t="s">
        <v>171</v>
      </c>
      <c r="AK51" s="14" t="s">
        <v>148</v>
      </c>
      <c r="AL51" s="50" t="s">
        <v>879</v>
      </c>
      <c r="AM51" s="14" t="s">
        <v>149</v>
      </c>
      <c r="AN51" s="141">
        <f>IFERROR(SUM(CHOOSE(MATCH(N51,{"Baja";"Media";"Alta"},0),1,2,3),
CHOOSE(MATCH(Q51,{"Baja";"Media";"Alta"},0),1,2,3),
CHOOSE(MATCH(T51,{"Baja";"Media";"Alta"},0),1,2,3),
CHOOSE(MATCH(W51,{"Baja";"Media";"Alta"},0),1,2,3),
CHOOSE(MATCH(AB51,{"Baja";"Media";"Alta"},0),1,2,3),
CHOOSE(MATCH(AD51,{"Baja";"Media";"Alta"},0),1,2,3),
CHOOSE(MATCH(AI51,{"Baja";"Media";"Alta"},0),1,2,3),
CHOOSE(MATCH(AK51,{"Baja";"Media";"Alta"},0),1,2,3),
CHOOSE(MATCH(AM51,{"Baja";"Media";"Alta"},0),1,2,3)),0)</f>
        <v>13</v>
      </c>
      <c r="AO51" s="67" t="str">
        <f t="shared" ref="AO51:AO68" si="9">IF(AN51=0,"Pendiente",IF(AN51&lt;=15,"Bajo",IF(AN51&lt;=21,"Medio","Alto")))</f>
        <v>Bajo</v>
      </c>
      <c r="AP51" s="18"/>
      <c r="AQ51" s="11" t="s">
        <v>880</v>
      </c>
      <c r="AR51" s="34" t="e">
        <f>VLOOKUP(A51,#REF!,2,FALSE)</f>
        <v>#REF!</v>
      </c>
      <c r="AS51" s="87" t="s">
        <v>881</v>
      </c>
      <c r="AT51" s="94" t="s">
        <v>882</v>
      </c>
      <c r="AU51" s="98" t="s">
        <v>883</v>
      </c>
      <c r="AV51" s="34">
        <v>1</v>
      </c>
      <c r="AW51" s="96" t="s">
        <v>884</v>
      </c>
    </row>
    <row r="52" spans="1:50" s="44" customFormat="1" ht="208">
      <c r="A52" s="16" t="s">
        <v>885</v>
      </c>
      <c r="B52" s="16" t="str">
        <f t="shared" si="8"/>
        <v>tnd-msa-sp-wsclientes0038</v>
      </c>
      <c r="C52" s="51" t="s">
        <v>886</v>
      </c>
      <c r="D52" s="16" t="s">
        <v>61</v>
      </c>
      <c r="E52" s="34" t="str">
        <f>VLOOKUP(D52,Tribus!$A$1:$B$33,2,FALSE)</f>
        <v>tnd</v>
      </c>
      <c r="F52" s="42" t="s">
        <v>237</v>
      </c>
      <c r="G52" s="42" t="s">
        <v>238</v>
      </c>
      <c r="H52" s="42" t="s">
        <v>239</v>
      </c>
      <c r="I52" s="36" t="s">
        <v>240</v>
      </c>
      <c r="J52" s="86" t="s">
        <v>887</v>
      </c>
      <c r="K52" s="153" t="s">
        <v>888</v>
      </c>
      <c r="L52" s="22" t="s">
        <v>241</v>
      </c>
      <c r="M52" s="37">
        <v>3</v>
      </c>
      <c r="N52" s="47" t="s">
        <v>149</v>
      </c>
      <c r="O52" s="37" t="s">
        <v>101</v>
      </c>
      <c r="P52" s="37">
        <v>1</v>
      </c>
      <c r="Q52" s="47" t="s">
        <v>148</v>
      </c>
      <c r="R52" s="32" t="s">
        <v>242</v>
      </c>
      <c r="S52" s="37">
        <v>0</v>
      </c>
      <c r="T52" s="47" t="s">
        <v>148</v>
      </c>
      <c r="U52" s="38" t="s">
        <v>242</v>
      </c>
      <c r="V52" s="38"/>
      <c r="W52" s="47" t="s">
        <v>148</v>
      </c>
      <c r="X52" s="46" t="s">
        <v>889</v>
      </c>
      <c r="Y52" s="46" t="s">
        <v>890</v>
      </c>
      <c r="Z52" s="46"/>
      <c r="AA52" s="46"/>
      <c r="AB52" s="47" t="s">
        <v>149</v>
      </c>
      <c r="AC52" s="43" t="s">
        <v>677</v>
      </c>
      <c r="AD52" s="47" t="s">
        <v>149</v>
      </c>
      <c r="AE52" s="20"/>
      <c r="AF52" s="22" t="s">
        <v>891</v>
      </c>
      <c r="AG52" s="43"/>
      <c r="AH52" s="37">
        <v>13</v>
      </c>
      <c r="AI52" s="47" t="s">
        <v>150</v>
      </c>
      <c r="AJ52" s="37" t="s">
        <v>171</v>
      </c>
      <c r="AK52" s="47" t="s">
        <v>148</v>
      </c>
      <c r="AL52" s="60" t="s">
        <v>892</v>
      </c>
      <c r="AM52" s="47" t="s">
        <v>149</v>
      </c>
      <c r="AN52" s="150">
        <f>IFERROR(SUM(CHOOSE(MATCH(N52,{"Baja";"Media";"Alta"},0),1,2,3),
CHOOSE(MATCH(Q52,{"Baja";"Media";"Alta"},0),1,2,3),
CHOOSE(MATCH(T52,{"Baja";"Media";"Alta"},0),1,2,3),
CHOOSE(MATCH(W52,{"Baja";"Media";"Alta"},0),1,2,3),
CHOOSE(MATCH(AB52,{"Baja";"Media";"Alta"},0),1,2,3),
CHOOSE(MATCH(AD52,{"Baja";"Media";"Alta"},0),1,2,3),
CHOOSE(MATCH(AI52,{"Baja";"Media";"Alta"},0),1,2,3),
CHOOSE(MATCH(AK52,{"Baja";"Media";"Alta"},0),1,2,3),
CHOOSE(MATCH(AM52,{"Baja";"Media";"Alta"},0),1,2,3)),0)</f>
        <v>15</v>
      </c>
      <c r="AO52" s="67" t="str">
        <f t="shared" si="9"/>
        <v>Bajo</v>
      </c>
      <c r="AP52" s="76"/>
      <c r="AQ52" s="16"/>
      <c r="AR52" s="34" t="e">
        <f>VLOOKUP(A52,#REF!,2,FALSE)</f>
        <v>#REF!</v>
      </c>
      <c r="AS52" s="104" t="s">
        <v>893</v>
      </c>
      <c r="AT52" s="110" t="s">
        <v>894</v>
      </c>
      <c r="AU52" s="134" t="s">
        <v>895</v>
      </c>
      <c r="AV52" s="34">
        <v>1</v>
      </c>
      <c r="AW52" s="126" t="s">
        <v>896</v>
      </c>
    </row>
    <row r="53" spans="1:50" ht="48">
      <c r="A53" s="11" t="s">
        <v>899</v>
      </c>
      <c r="B53" s="11" t="str">
        <f t="shared" si="8"/>
        <v>tnd-msa-sp-wsclientes0046</v>
      </c>
      <c r="C53" s="57" t="s">
        <v>900</v>
      </c>
      <c r="D53" s="11" t="s">
        <v>61</v>
      </c>
      <c r="E53" s="114" t="str">
        <f>VLOOKUP(D53,Tribus!$A$1:$B$33,2,FALSE)</f>
        <v>tnd</v>
      </c>
      <c r="F53" s="12" t="s">
        <v>237</v>
      </c>
      <c r="G53" s="12" t="s">
        <v>238</v>
      </c>
      <c r="H53" s="12" t="s">
        <v>239</v>
      </c>
      <c r="I53" s="151" t="s">
        <v>240</v>
      </c>
      <c r="J53" s="19" t="s">
        <v>901</v>
      </c>
      <c r="K53" s="22" t="s">
        <v>902</v>
      </c>
      <c r="L53" s="15" t="s">
        <v>241</v>
      </c>
      <c r="M53" s="15">
        <v>2</v>
      </c>
      <c r="N53" s="14" t="s">
        <v>149</v>
      </c>
      <c r="O53" s="15" t="s">
        <v>101</v>
      </c>
      <c r="P53" s="15">
        <v>1</v>
      </c>
      <c r="Q53" s="14" t="s">
        <v>148</v>
      </c>
      <c r="R53" s="15" t="s">
        <v>242</v>
      </c>
      <c r="S53" s="15">
        <v>0</v>
      </c>
      <c r="T53" s="14" t="s">
        <v>148</v>
      </c>
      <c r="U53" s="84" t="s">
        <v>242</v>
      </c>
      <c r="V53" s="15"/>
      <c r="W53" s="14" t="s">
        <v>148</v>
      </c>
      <c r="X53" s="15" t="s">
        <v>903</v>
      </c>
      <c r="Y53" s="15" t="s">
        <v>904</v>
      </c>
      <c r="Z53" s="15"/>
      <c r="AA53" s="15"/>
      <c r="AB53" s="14" t="s">
        <v>149</v>
      </c>
      <c r="AC53" s="15" t="s">
        <v>905</v>
      </c>
      <c r="AD53" s="14" t="s">
        <v>149</v>
      </c>
      <c r="AE53" s="19" t="s">
        <v>63</v>
      </c>
      <c r="AF53" s="15" t="s">
        <v>373</v>
      </c>
      <c r="AG53" s="19">
        <v>0</v>
      </c>
      <c r="AH53" s="15">
        <v>1</v>
      </c>
      <c r="AI53" s="14" t="s">
        <v>148</v>
      </c>
      <c r="AJ53" s="15" t="s">
        <v>171</v>
      </c>
      <c r="AK53" s="14" t="s">
        <v>148</v>
      </c>
      <c r="AL53" s="39" t="s">
        <v>906</v>
      </c>
      <c r="AM53" s="14" t="s">
        <v>148</v>
      </c>
      <c r="AN53" s="141">
        <f>IFERROR(SUM(CHOOSE(MATCH(N53,{"Baja";"Media";"Alta"},0),1,2,3),
CHOOSE(MATCH(Q53,{"Baja";"Media";"Alta"},0),1,2,3),
CHOOSE(MATCH(T53,{"Baja";"Media";"Alta"},0),1,2,3),
CHOOSE(MATCH(W53,{"Baja";"Media";"Alta"},0),1,2,3),
CHOOSE(MATCH(AB53,{"Baja";"Media";"Alta"},0),1,2,3),
CHOOSE(MATCH(AD53,{"Baja";"Media";"Alta"},0),1,2,3),
CHOOSE(MATCH(AI53,{"Baja";"Media";"Alta"},0),1,2,3),
CHOOSE(MATCH(AK53,{"Baja";"Media";"Alta"},0),1,2,3),
CHOOSE(MATCH(AM53,{"Baja";"Media";"Alta"},0),1,2,3)),0)</f>
        <v>12</v>
      </c>
      <c r="AO53" s="67" t="str">
        <f t="shared" si="9"/>
        <v>Bajo</v>
      </c>
      <c r="AP53" s="18"/>
      <c r="AQ53" s="11"/>
      <c r="AR53" s="34" t="e">
        <f>VLOOKUP(A53,#REF!,2,FALSE)</f>
        <v>#REF!</v>
      </c>
      <c r="AS53" s="98" t="s">
        <v>907</v>
      </c>
      <c r="AT53" s="94" t="s">
        <v>908</v>
      </c>
      <c r="AU53" s="98" t="s">
        <v>909</v>
      </c>
      <c r="AV53" s="34">
        <v>1</v>
      </c>
      <c r="AW53" s="95" t="s">
        <v>910</v>
      </c>
    </row>
    <row r="54" spans="1:50" ht="112">
      <c r="A54" s="11" t="s">
        <v>911</v>
      </c>
      <c r="B54" s="11" t="str">
        <f t="shared" si="8"/>
        <v>tnd-msa-sp-wsclientes0055</v>
      </c>
      <c r="C54" s="57" t="s">
        <v>912</v>
      </c>
      <c r="D54" s="11" t="s">
        <v>61</v>
      </c>
      <c r="E54" s="114" t="str">
        <f>VLOOKUP(D54,Tribus!$A$1:$B$33,2,FALSE)</f>
        <v>tnd</v>
      </c>
      <c r="F54" s="12" t="s">
        <v>237</v>
      </c>
      <c r="G54" s="12" t="s">
        <v>238</v>
      </c>
      <c r="H54" s="12" t="s">
        <v>239</v>
      </c>
      <c r="I54" s="151" t="s">
        <v>240</v>
      </c>
      <c r="J54" s="19" t="s">
        <v>913</v>
      </c>
      <c r="K54" s="22" t="s">
        <v>902</v>
      </c>
      <c r="L54" s="19" t="s">
        <v>241</v>
      </c>
      <c r="M54" s="15">
        <v>2</v>
      </c>
      <c r="N54" s="14" t="s">
        <v>149</v>
      </c>
      <c r="O54" s="15" t="s">
        <v>505</v>
      </c>
      <c r="P54" s="15">
        <v>1</v>
      </c>
      <c r="Q54" s="14" t="s">
        <v>148</v>
      </c>
      <c r="R54" s="15" t="s">
        <v>456</v>
      </c>
      <c r="S54" s="15">
        <v>0</v>
      </c>
      <c r="T54" s="14" t="s">
        <v>148</v>
      </c>
      <c r="U54" s="84" t="s">
        <v>242</v>
      </c>
      <c r="V54" s="15"/>
      <c r="W54" s="14" t="s">
        <v>148</v>
      </c>
      <c r="X54" s="15" t="s">
        <v>914</v>
      </c>
      <c r="Y54" s="15" t="s">
        <v>915</v>
      </c>
      <c r="Z54" s="15"/>
      <c r="AA54" s="15"/>
      <c r="AB54" s="14" t="s">
        <v>149</v>
      </c>
      <c r="AC54" s="19" t="s">
        <v>916</v>
      </c>
      <c r="AD54" s="14" t="s">
        <v>149</v>
      </c>
      <c r="AE54" s="19" t="s">
        <v>917</v>
      </c>
      <c r="AF54" s="19" t="s">
        <v>916</v>
      </c>
      <c r="AG54" s="15"/>
      <c r="AH54" s="15">
        <v>7</v>
      </c>
      <c r="AI54" s="14" t="s">
        <v>150</v>
      </c>
      <c r="AJ54" s="15" t="s">
        <v>456</v>
      </c>
      <c r="AK54" s="14" t="s">
        <v>148</v>
      </c>
      <c r="AL54" s="50" t="s">
        <v>918</v>
      </c>
      <c r="AM54" s="14" t="s">
        <v>149</v>
      </c>
      <c r="AN54" s="141">
        <f>IFERROR(SUM(CHOOSE(MATCH(N54,{"Baja";"Media";"Alta"},0),1,2,3),
CHOOSE(MATCH(Q54,{"Baja";"Media";"Alta"},0),1,2,3),
CHOOSE(MATCH(T54,{"Baja";"Media";"Alta"},0),1,2,3),
CHOOSE(MATCH(W54,{"Baja";"Media";"Alta"},0),1,2,3),
CHOOSE(MATCH(AB54,{"Baja";"Media";"Alta"},0),1,2,3),
CHOOSE(MATCH(AD54,{"Baja";"Media";"Alta"},0),1,2,3),
CHOOSE(MATCH(AI54,{"Baja";"Media";"Alta"},0),1,2,3),
CHOOSE(MATCH(AK54,{"Baja";"Media";"Alta"},0),1,2,3),
CHOOSE(MATCH(AM54,{"Baja";"Media";"Alta"},0),1,2,3)),0)</f>
        <v>15</v>
      </c>
      <c r="AO54" s="67" t="str">
        <f t="shared" si="9"/>
        <v>Bajo</v>
      </c>
      <c r="AP54" s="18"/>
      <c r="AQ54" s="11"/>
      <c r="AR54" s="34" t="e">
        <f>VLOOKUP(A54,#REF!,2,FALSE)</f>
        <v>#REF!</v>
      </c>
      <c r="AS54" s="57" t="s">
        <v>919</v>
      </c>
      <c r="AT54" s="94" t="s">
        <v>920</v>
      </c>
      <c r="AU54" s="87" t="s">
        <v>921</v>
      </c>
      <c r="AV54" s="34">
        <v>1</v>
      </c>
      <c r="AW54" s="95" t="s">
        <v>922</v>
      </c>
    </row>
    <row r="55" spans="1:50" ht="64">
      <c r="A55" s="11" t="s">
        <v>923</v>
      </c>
      <c r="B55" s="11" t="s">
        <v>924</v>
      </c>
      <c r="C55" s="51" t="s">
        <v>925</v>
      </c>
      <c r="D55" s="11" t="s">
        <v>61</v>
      </c>
      <c r="E55" s="114" t="str">
        <f>VLOOKUP(D55,Tribus!$A$1:$B$33,2,FALSE)</f>
        <v>tnd</v>
      </c>
      <c r="F55" s="12" t="s">
        <v>237</v>
      </c>
      <c r="G55" s="42" t="s">
        <v>238</v>
      </c>
      <c r="H55" s="12" t="s">
        <v>239</v>
      </c>
      <c r="I55" s="36" t="s">
        <v>240</v>
      </c>
      <c r="J55" s="19" t="s">
        <v>926</v>
      </c>
      <c r="K55" s="22" t="s">
        <v>902</v>
      </c>
      <c r="L55" s="19" t="s">
        <v>241</v>
      </c>
      <c r="M55" s="37">
        <v>1</v>
      </c>
      <c r="N55" s="47" t="s">
        <v>148</v>
      </c>
      <c r="O55" s="37" t="s">
        <v>927</v>
      </c>
      <c r="P55" s="37">
        <v>1</v>
      </c>
      <c r="Q55" s="47" t="s">
        <v>148</v>
      </c>
      <c r="R55" s="37" t="s">
        <v>456</v>
      </c>
      <c r="S55" s="37">
        <v>0</v>
      </c>
      <c r="T55" s="47" t="s">
        <v>148</v>
      </c>
      <c r="U55" s="84" t="s">
        <v>242</v>
      </c>
      <c r="V55" s="15"/>
      <c r="W55" s="47" t="s">
        <v>148</v>
      </c>
      <c r="X55" s="43" t="s">
        <v>928</v>
      </c>
      <c r="Y55" s="43" t="s">
        <v>929</v>
      </c>
      <c r="Z55" s="43"/>
      <c r="AA55" s="43"/>
      <c r="AB55" s="47" t="s">
        <v>149</v>
      </c>
      <c r="AC55" s="20" t="s">
        <v>930</v>
      </c>
      <c r="AD55" s="47" t="s">
        <v>149</v>
      </c>
      <c r="AE55" s="19" t="s">
        <v>931</v>
      </c>
      <c r="AF55" s="20" t="s">
        <v>930</v>
      </c>
      <c r="AG55" s="43"/>
      <c r="AH55" s="37">
        <v>4</v>
      </c>
      <c r="AI55" s="47" t="s">
        <v>150</v>
      </c>
      <c r="AJ55" s="37" t="s">
        <v>456</v>
      </c>
      <c r="AK55" s="47" t="s">
        <v>148</v>
      </c>
      <c r="AL55" s="60" t="s">
        <v>932</v>
      </c>
      <c r="AM55" s="47" t="s">
        <v>148</v>
      </c>
      <c r="AN55" s="141">
        <f>IFERROR(SUM(CHOOSE(MATCH(N55,{"Baja";"Media";"Alta"},0),1,2,3),
CHOOSE(MATCH(Q55,{"Baja";"Media";"Alta"},0),1,2,3),
CHOOSE(MATCH(T55,{"Baja";"Media";"Alta"},0),1,2,3),
CHOOSE(MATCH(W55,{"Baja";"Media";"Alta"},0),1,2,3),
CHOOSE(MATCH(AB55,{"Baja";"Media";"Alta"},0),1,2,3),
CHOOSE(MATCH(AD55,{"Baja";"Media";"Alta"},0),1,2,3),
CHOOSE(MATCH(AI55,{"Baja";"Media";"Alta"},0),1,2,3),
CHOOSE(MATCH(AK55,{"Baja";"Media";"Alta"},0),1,2,3),
CHOOSE(MATCH(AM55,{"Baja";"Media";"Alta"},0),1,2,3)),0)</f>
        <v>13</v>
      </c>
      <c r="AO55" s="67" t="str">
        <f t="shared" si="9"/>
        <v>Bajo</v>
      </c>
      <c r="AP55" s="18"/>
      <c r="AQ55" s="16" t="s">
        <v>933</v>
      </c>
      <c r="AR55" s="34" t="e">
        <f>VLOOKUP(A55,#REF!,2,FALSE)</f>
        <v>#REF!</v>
      </c>
      <c r="AS55" s="57" t="s">
        <v>934</v>
      </c>
      <c r="AT55" s="94" t="s">
        <v>935</v>
      </c>
      <c r="AU55" s="87" t="s">
        <v>936</v>
      </c>
      <c r="AV55" s="34">
        <v>1</v>
      </c>
      <c r="AW55" s="95" t="s">
        <v>937</v>
      </c>
    </row>
    <row r="56" spans="1:50" ht="66" customHeight="1">
      <c r="A56" s="16" t="s">
        <v>938</v>
      </c>
      <c r="B56" s="33" t="str">
        <f t="shared" ref="B56:B68" si="10">CONCATENATE(LOWER(E56),"-msa-sp-",LOWER(A56))</f>
        <v>tnd-msa-sp-wsclientes0061</v>
      </c>
      <c r="C56" s="51" t="s">
        <v>939</v>
      </c>
      <c r="D56" s="16" t="s">
        <v>61</v>
      </c>
      <c r="E56" s="34" t="str">
        <f>VLOOKUP(D56,Tribus!$A$1:$B$33,2,FALSE)</f>
        <v>tnd</v>
      </c>
      <c r="F56" s="42" t="s">
        <v>237</v>
      </c>
      <c r="G56" s="42" t="s">
        <v>238</v>
      </c>
      <c r="H56" s="42" t="s">
        <v>239</v>
      </c>
      <c r="I56" s="36" t="s">
        <v>240</v>
      </c>
      <c r="J56" s="86" t="s">
        <v>940</v>
      </c>
      <c r="K56" s="153" t="s">
        <v>888</v>
      </c>
      <c r="L56" s="20" t="s">
        <v>241</v>
      </c>
      <c r="M56" s="37">
        <v>1</v>
      </c>
      <c r="N56" s="47" t="s">
        <v>148</v>
      </c>
      <c r="O56" s="37" t="s">
        <v>101</v>
      </c>
      <c r="P56" s="37">
        <v>1</v>
      </c>
      <c r="Q56" s="47" t="s">
        <v>148</v>
      </c>
      <c r="R56" s="32" t="s">
        <v>242</v>
      </c>
      <c r="S56" s="37">
        <v>0</v>
      </c>
      <c r="T56" s="47" t="s">
        <v>148</v>
      </c>
      <c r="U56" s="38" t="s">
        <v>242</v>
      </c>
      <c r="V56" s="38"/>
      <c r="W56" s="47" t="s">
        <v>148</v>
      </c>
      <c r="X56" s="46" t="s">
        <v>941</v>
      </c>
      <c r="Y56" s="46" t="s">
        <v>942</v>
      </c>
      <c r="Z56" s="46"/>
      <c r="AA56" s="46"/>
      <c r="AB56" s="47" t="s">
        <v>149</v>
      </c>
      <c r="AC56" s="43" t="s">
        <v>677</v>
      </c>
      <c r="AD56" s="47" t="s">
        <v>149</v>
      </c>
      <c r="AE56" s="20"/>
      <c r="AF56" s="22" t="s">
        <v>943</v>
      </c>
      <c r="AG56" s="43"/>
      <c r="AH56" s="37">
        <v>4</v>
      </c>
      <c r="AI56" s="47" t="s">
        <v>150</v>
      </c>
      <c r="AJ56" s="37" t="s">
        <v>171</v>
      </c>
      <c r="AK56" s="47" t="s">
        <v>148</v>
      </c>
      <c r="AL56" s="40" t="s">
        <v>944</v>
      </c>
      <c r="AM56" s="47" t="s">
        <v>148</v>
      </c>
      <c r="AN56" s="150">
        <f>IFERROR(SUM(CHOOSE(MATCH(N56,{"Baja";"Media";"Alta"},0),1,2,3),
CHOOSE(MATCH(Q56,{"Baja";"Media";"Alta"},0),1,2,3),
CHOOSE(MATCH(T56,{"Baja";"Media";"Alta"},0),1,2,3),
CHOOSE(MATCH(W56,{"Baja";"Media";"Alta"},0),1,2,3),
CHOOSE(MATCH(AB56,{"Baja";"Media";"Alta"},0),1,2,3),
CHOOSE(MATCH(AD56,{"Baja";"Media";"Alta"},0),1,2,3),
CHOOSE(MATCH(AI56,{"Baja";"Media";"Alta"},0),1,2,3),
CHOOSE(MATCH(AK56,{"Baja";"Media";"Alta"},0),1,2,3),
CHOOSE(MATCH(AM56,{"Baja";"Media";"Alta"},0),1,2,3)),0)</f>
        <v>13</v>
      </c>
      <c r="AO56" s="67" t="str">
        <f t="shared" si="9"/>
        <v>Bajo</v>
      </c>
      <c r="AP56" s="18"/>
      <c r="AQ56" s="16"/>
      <c r="AR56" s="34" t="e">
        <f>VLOOKUP(A56,#REF!,2,FALSE)</f>
        <v>#REF!</v>
      </c>
      <c r="AS56" s="104" t="s">
        <v>945</v>
      </c>
      <c r="AT56" s="110" t="s">
        <v>946</v>
      </c>
      <c r="AU56" s="134" t="s">
        <v>947</v>
      </c>
      <c r="AV56" s="34">
        <v>1</v>
      </c>
      <c r="AW56" s="95" t="s">
        <v>948</v>
      </c>
    </row>
    <row r="57" spans="1:50" ht="80">
      <c r="A57" s="15" t="s">
        <v>949</v>
      </c>
      <c r="B57" s="11" t="str">
        <f t="shared" si="10"/>
        <v>tnd-msa-sp-wsclientes0062</v>
      </c>
      <c r="C57" s="57" t="s">
        <v>950</v>
      </c>
      <c r="D57" s="11" t="s">
        <v>61</v>
      </c>
      <c r="E57" s="114" t="str">
        <f>VLOOKUP(D57,Tribus!$A$1:$B$33,2,FALSE)</f>
        <v>tnd</v>
      </c>
      <c r="F57" s="12" t="s">
        <v>237</v>
      </c>
      <c r="G57" s="12" t="s">
        <v>238</v>
      </c>
      <c r="H57" s="12" t="s">
        <v>239</v>
      </c>
      <c r="I57" s="151" t="s">
        <v>240</v>
      </c>
      <c r="J57" s="19" t="s">
        <v>951</v>
      </c>
      <c r="K57" s="22" t="s">
        <v>902</v>
      </c>
      <c r="L57" s="19" t="s">
        <v>241</v>
      </c>
      <c r="M57" s="15">
        <v>1</v>
      </c>
      <c r="N57" s="14" t="s">
        <v>148</v>
      </c>
      <c r="O57" s="15" t="s">
        <v>505</v>
      </c>
      <c r="P57" s="15">
        <v>1</v>
      </c>
      <c r="Q57" s="14" t="s">
        <v>148</v>
      </c>
      <c r="R57" s="15" t="s">
        <v>242</v>
      </c>
      <c r="S57" s="15">
        <v>0</v>
      </c>
      <c r="T57" s="14" t="s">
        <v>148</v>
      </c>
      <c r="U57" s="38" t="s">
        <v>242</v>
      </c>
      <c r="V57" s="38"/>
      <c r="W57" s="14" t="s">
        <v>148</v>
      </c>
      <c r="X57" s="15" t="s">
        <v>952</v>
      </c>
      <c r="Y57" s="15" t="s">
        <v>953</v>
      </c>
      <c r="Z57" s="15"/>
      <c r="AA57" s="15"/>
      <c r="AB57" s="14" t="s">
        <v>149</v>
      </c>
      <c r="AC57" s="15" t="s">
        <v>677</v>
      </c>
      <c r="AD57" s="14" t="s">
        <v>149</v>
      </c>
      <c r="AE57" s="19"/>
      <c r="AF57" s="19" t="s">
        <v>954</v>
      </c>
      <c r="AG57" s="15"/>
      <c r="AH57" s="15">
        <v>5</v>
      </c>
      <c r="AI57" s="14" t="s">
        <v>150</v>
      </c>
      <c r="AJ57" s="15" t="s">
        <v>171</v>
      </c>
      <c r="AK57" s="14" t="s">
        <v>148</v>
      </c>
      <c r="AL57" s="39" t="s">
        <v>955</v>
      </c>
      <c r="AM57" s="14" t="s">
        <v>148</v>
      </c>
      <c r="AN57" s="141">
        <f>IFERROR(SUM(CHOOSE(MATCH(N57,{"Baja";"Media";"Alta"},0),1,2,3),
CHOOSE(MATCH(Q57,{"Baja";"Media";"Alta"},0),1,2,3),
CHOOSE(MATCH(T57,{"Baja";"Media";"Alta"},0),1,2,3),
CHOOSE(MATCH(W57,{"Baja";"Media";"Alta"},0),1,2,3),
CHOOSE(MATCH(AB57,{"Baja";"Media";"Alta"},0),1,2,3),
CHOOSE(MATCH(AD57,{"Baja";"Media";"Alta"},0),1,2,3),
CHOOSE(MATCH(AI57,{"Baja";"Media";"Alta"},0),1,2,3),
CHOOSE(MATCH(AK57,{"Baja";"Media";"Alta"},0),1,2,3),
CHOOSE(MATCH(AM57,{"Baja";"Media";"Alta"},0),1,2,3)),0)</f>
        <v>13</v>
      </c>
      <c r="AO57" s="67" t="str">
        <f t="shared" si="9"/>
        <v>Bajo</v>
      </c>
      <c r="AP57" s="18"/>
      <c r="AQ57" s="11"/>
      <c r="AR57" s="34" t="e">
        <f>VLOOKUP(A57,#REF!,2,FALSE)</f>
        <v>#REF!</v>
      </c>
      <c r="AS57" s="88" t="s">
        <v>956</v>
      </c>
      <c r="AT57" s="94" t="s">
        <v>957</v>
      </c>
      <c r="AU57" s="88" t="s">
        <v>958</v>
      </c>
      <c r="AV57" s="34">
        <v>1</v>
      </c>
      <c r="AW57" s="95" t="s">
        <v>959</v>
      </c>
    </row>
    <row r="58" spans="1:50" ht="48">
      <c r="A58" s="11" t="s">
        <v>960</v>
      </c>
      <c r="B58" s="11" t="str">
        <f t="shared" si="10"/>
        <v>tnd-msa-sp-wsclientes0063</v>
      </c>
      <c r="C58" s="57" t="s">
        <v>961</v>
      </c>
      <c r="D58" s="11" t="s">
        <v>61</v>
      </c>
      <c r="E58" s="114" t="str">
        <f>VLOOKUP(D58,Tribus!$A$1:$B$33,2,FALSE)</f>
        <v>tnd</v>
      </c>
      <c r="F58" s="12" t="s">
        <v>237</v>
      </c>
      <c r="G58" s="12" t="s">
        <v>238</v>
      </c>
      <c r="H58" s="12" t="s">
        <v>239</v>
      </c>
      <c r="I58" s="151" t="s">
        <v>240</v>
      </c>
      <c r="J58" s="15" t="s">
        <v>962</v>
      </c>
      <c r="K58" s="22" t="s">
        <v>902</v>
      </c>
      <c r="L58" s="59" t="s">
        <v>241</v>
      </c>
      <c r="M58" s="15">
        <v>1</v>
      </c>
      <c r="N58" s="14" t="s">
        <v>148</v>
      </c>
      <c r="O58" s="15" t="s">
        <v>101</v>
      </c>
      <c r="P58" s="15">
        <v>1</v>
      </c>
      <c r="Q58" s="14" t="s">
        <v>148</v>
      </c>
      <c r="R58" s="15" t="s">
        <v>456</v>
      </c>
      <c r="S58" s="15">
        <v>0</v>
      </c>
      <c r="T58" s="14" t="s">
        <v>148</v>
      </c>
      <c r="U58" s="84" t="s">
        <v>242</v>
      </c>
      <c r="V58" s="15"/>
      <c r="W58" s="14" t="s">
        <v>148</v>
      </c>
      <c r="X58" s="15" t="s">
        <v>963</v>
      </c>
      <c r="Y58" s="15" t="s">
        <v>964</v>
      </c>
      <c r="Z58" s="15"/>
      <c r="AA58" s="15"/>
      <c r="AB58" s="14" t="s">
        <v>148</v>
      </c>
      <c r="AC58" s="15" t="s">
        <v>463</v>
      </c>
      <c r="AD58" s="14" t="s">
        <v>149</v>
      </c>
      <c r="AE58" s="13"/>
      <c r="AF58" s="15" t="s">
        <v>463</v>
      </c>
      <c r="AG58" s="15"/>
      <c r="AH58" s="15">
        <v>1</v>
      </c>
      <c r="AI58" s="14" t="s">
        <v>148</v>
      </c>
      <c r="AJ58" s="15" t="s">
        <v>456</v>
      </c>
      <c r="AK58" s="14" t="s">
        <v>148</v>
      </c>
      <c r="AL58" s="15" t="s">
        <v>965</v>
      </c>
      <c r="AM58" s="14" t="s">
        <v>148</v>
      </c>
      <c r="AN58" s="141">
        <f>IFERROR(SUM(CHOOSE(MATCH(N58,{"Baja";"Media";"Alta"},0),1,2,3),
CHOOSE(MATCH(Q58,{"Baja";"Media";"Alta"},0),1,2,3),
CHOOSE(MATCH(T58,{"Baja";"Media";"Alta"},0),1,2,3),
CHOOSE(MATCH(W58,{"Baja";"Media";"Alta"},0),1,2,3),
CHOOSE(MATCH(AB58,{"Baja";"Media";"Alta"},0),1,2,3),
CHOOSE(MATCH(AD58,{"Baja";"Media";"Alta"},0),1,2,3),
CHOOSE(MATCH(AI58,{"Baja";"Media";"Alta"},0),1,2,3),
CHOOSE(MATCH(AK58,{"Baja";"Media";"Alta"},0),1,2,3),
CHOOSE(MATCH(AM58,{"Baja";"Media";"Alta"},0),1,2,3)),0)</f>
        <v>10</v>
      </c>
      <c r="AO58" s="67" t="str">
        <f t="shared" si="9"/>
        <v>Bajo</v>
      </c>
      <c r="AP58" s="18"/>
      <c r="AQ58" s="11"/>
      <c r="AR58" s="34" t="e">
        <f>VLOOKUP(A58,#REF!,2,FALSE)</f>
        <v>#REF!</v>
      </c>
      <c r="AS58" s="87" t="s">
        <v>966</v>
      </c>
      <c r="AT58" s="94" t="s">
        <v>967</v>
      </c>
      <c r="AU58" s="163" t="s">
        <v>968</v>
      </c>
      <c r="AV58" s="34">
        <v>1</v>
      </c>
      <c r="AW58" s="95" t="s">
        <v>969</v>
      </c>
    </row>
    <row r="59" spans="1:50" s="44" customFormat="1" ht="240">
      <c r="A59" s="16" t="s">
        <v>970</v>
      </c>
      <c r="B59" s="16" t="str">
        <f t="shared" si="10"/>
        <v>tnd-msa-sp-wsclientes0067</v>
      </c>
      <c r="C59" s="51" t="s">
        <v>971</v>
      </c>
      <c r="D59" s="16" t="s">
        <v>61</v>
      </c>
      <c r="E59" s="34" t="str">
        <f>VLOOKUP(D59,Tribus!$A$1:$B$33,2,FALSE)</f>
        <v>tnd</v>
      </c>
      <c r="F59" s="42" t="s">
        <v>237</v>
      </c>
      <c r="G59" s="42" t="s">
        <v>238</v>
      </c>
      <c r="H59" s="42" t="s">
        <v>239</v>
      </c>
      <c r="I59" s="36" t="s">
        <v>240</v>
      </c>
      <c r="J59" s="86" t="s">
        <v>972</v>
      </c>
      <c r="K59" s="153" t="s">
        <v>888</v>
      </c>
      <c r="L59" s="22" t="s">
        <v>241</v>
      </c>
      <c r="M59" s="37">
        <v>2</v>
      </c>
      <c r="N59" s="47" t="s">
        <v>149</v>
      </c>
      <c r="O59" s="37" t="s">
        <v>101</v>
      </c>
      <c r="P59" s="37">
        <v>1</v>
      </c>
      <c r="Q59" s="47" t="s">
        <v>148</v>
      </c>
      <c r="R59" s="32" t="s">
        <v>242</v>
      </c>
      <c r="S59" s="37">
        <v>0</v>
      </c>
      <c r="T59" s="47" t="s">
        <v>148</v>
      </c>
      <c r="U59" s="38" t="s">
        <v>242</v>
      </c>
      <c r="V59" s="38"/>
      <c r="W59" s="47" t="s">
        <v>148</v>
      </c>
      <c r="X59" s="46" t="s">
        <v>973</v>
      </c>
      <c r="Y59" s="46" t="s">
        <v>974</v>
      </c>
      <c r="Z59" s="46"/>
      <c r="AA59" s="46"/>
      <c r="AB59" s="47" t="s">
        <v>149</v>
      </c>
      <c r="AC59" s="43" t="s">
        <v>677</v>
      </c>
      <c r="AD59" s="47" t="s">
        <v>149</v>
      </c>
      <c r="AE59" s="20" t="s">
        <v>975</v>
      </c>
      <c r="AF59" s="22" t="s">
        <v>976</v>
      </c>
      <c r="AG59" s="20" t="s">
        <v>977</v>
      </c>
      <c r="AH59" s="37">
        <v>13</v>
      </c>
      <c r="AI59" s="47" t="s">
        <v>150</v>
      </c>
      <c r="AJ59" s="37" t="s">
        <v>171</v>
      </c>
      <c r="AK59" s="47" t="s">
        <v>148</v>
      </c>
      <c r="AL59" s="40" t="s">
        <v>978</v>
      </c>
      <c r="AM59" s="47" t="s">
        <v>148</v>
      </c>
      <c r="AN59" s="150">
        <f>IFERROR(SUM(CHOOSE(MATCH(N59,{"Baja";"Media";"Alta"},0),1,2,3),
CHOOSE(MATCH(Q59,{"Baja";"Media";"Alta"},0),1,2,3),
CHOOSE(MATCH(T59,{"Baja";"Media";"Alta"},0),1,2,3),
CHOOSE(MATCH(W59,{"Baja";"Media";"Alta"},0),1,2,3),
CHOOSE(MATCH(AB59,{"Baja";"Media";"Alta"},0),1,2,3),
CHOOSE(MATCH(AD59,{"Baja";"Media";"Alta"},0),1,2,3),
CHOOSE(MATCH(AI59,{"Baja";"Media";"Alta"},0),1,2,3),
CHOOSE(MATCH(AK59,{"Baja";"Media";"Alta"},0),1,2,3),
CHOOSE(MATCH(AM59,{"Baja";"Media";"Alta"},0),1,2,3)),0)</f>
        <v>14</v>
      </c>
      <c r="AO59" s="67" t="str">
        <f t="shared" si="9"/>
        <v>Bajo</v>
      </c>
      <c r="AP59" s="18"/>
      <c r="AQ59" s="16"/>
      <c r="AR59" s="34" t="e">
        <f>VLOOKUP(A59,#REF!,2,FALSE)</f>
        <v>#REF!</v>
      </c>
      <c r="AS59" s="104" t="s">
        <v>979</v>
      </c>
      <c r="AT59" s="129" t="s">
        <v>980</v>
      </c>
      <c r="AU59" s="101" t="s">
        <v>981</v>
      </c>
      <c r="AV59" s="34">
        <v>1</v>
      </c>
      <c r="AW59" s="126" t="s">
        <v>982</v>
      </c>
      <c r="AX59"/>
    </row>
    <row r="60" spans="1:50" s="44" customFormat="1" ht="48">
      <c r="A60" s="16" t="s">
        <v>983</v>
      </c>
      <c r="B60" s="16" t="str">
        <f t="shared" si="10"/>
        <v>tnd-msa-sp-wsclientes0071</v>
      </c>
      <c r="C60" s="45" t="s">
        <v>984</v>
      </c>
      <c r="D60" s="16" t="s">
        <v>61</v>
      </c>
      <c r="E60" s="34" t="str">
        <f>VLOOKUP(D60,Tribus!$A$1:$B$33,2,FALSE)</f>
        <v>tnd</v>
      </c>
      <c r="F60" s="42" t="s">
        <v>237</v>
      </c>
      <c r="G60" s="42" t="s">
        <v>238</v>
      </c>
      <c r="H60" s="42" t="s">
        <v>239</v>
      </c>
      <c r="I60" s="36" t="s">
        <v>240</v>
      </c>
      <c r="J60" s="86" t="s">
        <v>985</v>
      </c>
      <c r="K60" s="153" t="s">
        <v>888</v>
      </c>
      <c r="L60" s="22" t="s">
        <v>241</v>
      </c>
      <c r="M60" s="37">
        <v>2</v>
      </c>
      <c r="N60" s="47" t="s">
        <v>149</v>
      </c>
      <c r="O60" s="37" t="s">
        <v>101</v>
      </c>
      <c r="P60" s="37">
        <v>1</v>
      </c>
      <c r="Q60" s="47" t="s">
        <v>148</v>
      </c>
      <c r="R60" s="32" t="s">
        <v>242</v>
      </c>
      <c r="S60" s="37">
        <v>0</v>
      </c>
      <c r="T60" s="47" t="s">
        <v>148</v>
      </c>
      <c r="U60" s="38" t="s">
        <v>242</v>
      </c>
      <c r="V60" s="38"/>
      <c r="W60" s="47" t="s">
        <v>148</v>
      </c>
      <c r="X60" s="46">
        <v>574</v>
      </c>
      <c r="Y60" s="46" t="s">
        <v>986</v>
      </c>
      <c r="Z60" s="46"/>
      <c r="AA60" s="46"/>
      <c r="AB60" s="47" t="s">
        <v>148</v>
      </c>
      <c r="AC60" s="43" t="s">
        <v>678</v>
      </c>
      <c r="AD60" s="47" t="s">
        <v>149</v>
      </c>
      <c r="AE60" s="86"/>
      <c r="AF60" s="46" t="s">
        <v>361</v>
      </c>
      <c r="AG60" s="43"/>
      <c r="AH60" s="37">
        <v>1</v>
      </c>
      <c r="AI60" s="123" t="s">
        <v>148</v>
      </c>
      <c r="AJ60" s="37" t="s">
        <v>171</v>
      </c>
      <c r="AK60" s="47" t="s">
        <v>148</v>
      </c>
      <c r="AL60" s="40" t="s">
        <v>987</v>
      </c>
      <c r="AM60" s="47" t="s">
        <v>148</v>
      </c>
      <c r="AN60" s="150">
        <f>IFERROR(SUM(CHOOSE(MATCH(N60,{"Baja";"Media";"Alta"},0),1,2,3),
CHOOSE(MATCH(Q60,{"Baja";"Media";"Alta"},0),1,2,3),
CHOOSE(MATCH(T60,{"Baja";"Media";"Alta"},0),1,2,3),
CHOOSE(MATCH(W60,{"Baja";"Media";"Alta"},0),1,2,3),
CHOOSE(MATCH(AB60,{"Baja";"Media";"Alta"},0),1,2,3),
CHOOSE(MATCH(AD60,{"Baja";"Media";"Alta"},0),1,2,3),
CHOOSE(MATCH(AI60,{"Baja";"Media";"Alta"},0),1,2,3),
CHOOSE(MATCH(AK60,{"Baja";"Media";"Alta"},0),1,2,3),
CHOOSE(MATCH(AM60,{"Baja";"Media";"Alta"},0),1,2,3)),0)</f>
        <v>11</v>
      </c>
      <c r="AO60" s="67" t="str">
        <f t="shared" si="9"/>
        <v>Bajo</v>
      </c>
      <c r="AP60" s="18"/>
      <c r="AQ60" s="16"/>
      <c r="AR60" s="34" t="e">
        <f>VLOOKUP(A60,#REF!,2,FALSE)</f>
        <v>#REF!</v>
      </c>
      <c r="AS60" s="104" t="s">
        <v>988</v>
      </c>
      <c r="AT60" s="110" t="s">
        <v>989</v>
      </c>
      <c r="AU60" s="134" t="s">
        <v>990</v>
      </c>
      <c r="AV60" s="34">
        <v>1</v>
      </c>
      <c r="AW60" s="126" t="s">
        <v>991</v>
      </c>
      <c r="AX60"/>
    </row>
    <row r="61" spans="1:50" ht="208">
      <c r="A61" s="11" t="s">
        <v>992</v>
      </c>
      <c r="B61" s="11" t="str">
        <f t="shared" si="10"/>
        <v>tnd-msa-sp-wsclientes0072</v>
      </c>
      <c r="C61" s="57" t="s">
        <v>993</v>
      </c>
      <c r="D61" s="11" t="s">
        <v>61</v>
      </c>
      <c r="E61" s="114" t="str">
        <f>VLOOKUP(D61,Tribus!$A$1:$B$33,2,FALSE)</f>
        <v>tnd</v>
      </c>
      <c r="F61" s="12" t="s">
        <v>237</v>
      </c>
      <c r="G61" s="12" t="s">
        <v>238</v>
      </c>
      <c r="H61" s="12" t="s">
        <v>239</v>
      </c>
      <c r="I61" s="151" t="s">
        <v>240</v>
      </c>
      <c r="J61" s="19" t="s">
        <v>994</v>
      </c>
      <c r="K61" s="22" t="s">
        <v>902</v>
      </c>
      <c r="L61" s="19" t="s">
        <v>241</v>
      </c>
      <c r="M61" s="15">
        <v>9</v>
      </c>
      <c r="N61" s="14" t="s">
        <v>150</v>
      </c>
      <c r="O61" s="15" t="s">
        <v>505</v>
      </c>
      <c r="P61" s="15">
        <v>1</v>
      </c>
      <c r="Q61" s="14" t="s">
        <v>148</v>
      </c>
      <c r="R61" s="15" t="s">
        <v>242</v>
      </c>
      <c r="S61" s="15">
        <v>0</v>
      </c>
      <c r="T61" s="14" t="s">
        <v>148</v>
      </c>
      <c r="U61" s="84" t="s">
        <v>242</v>
      </c>
      <c r="V61" s="15"/>
      <c r="W61" s="14" t="s">
        <v>148</v>
      </c>
      <c r="X61" s="15" t="s">
        <v>941</v>
      </c>
      <c r="Y61" s="15" t="s">
        <v>995</v>
      </c>
      <c r="Z61" s="15"/>
      <c r="AA61" s="15"/>
      <c r="AB61" s="14" t="s">
        <v>149</v>
      </c>
      <c r="AC61" s="15"/>
      <c r="AD61" s="14" t="s">
        <v>149</v>
      </c>
      <c r="AE61" s="19"/>
      <c r="AF61" s="19" t="s">
        <v>996</v>
      </c>
      <c r="AG61" s="15"/>
      <c r="AH61" s="15">
        <v>3</v>
      </c>
      <c r="AI61" s="14" t="s">
        <v>149</v>
      </c>
      <c r="AJ61" s="15" t="s">
        <v>769</v>
      </c>
      <c r="AK61" s="14" t="s">
        <v>148</v>
      </c>
      <c r="AL61" s="10" t="s">
        <v>997</v>
      </c>
      <c r="AM61" s="14" t="s">
        <v>148</v>
      </c>
      <c r="AN61" s="141">
        <f>IFERROR(SUM(CHOOSE(MATCH(N61,{"Baja";"Media";"Alta"},0),1,2,3),
CHOOSE(MATCH(Q61,{"Baja";"Media";"Alta"},0),1,2,3),
CHOOSE(MATCH(T61,{"Baja";"Media";"Alta"},0),1,2,3),
CHOOSE(MATCH(W61,{"Baja";"Media";"Alta"},0),1,2,3),
CHOOSE(MATCH(AB61,{"Baja";"Media";"Alta"},0),1,2,3),
CHOOSE(MATCH(AD61,{"Baja";"Media";"Alta"},0),1,2,3),
CHOOSE(MATCH(AI61,{"Baja";"Media";"Alta"},0),1,2,3),
CHOOSE(MATCH(AK61,{"Baja";"Media";"Alta"},0),1,2,3),
CHOOSE(MATCH(AM61,{"Baja";"Media";"Alta"},0),1,2,3)),0)</f>
        <v>14</v>
      </c>
      <c r="AO61" s="67" t="str">
        <f t="shared" si="9"/>
        <v>Bajo</v>
      </c>
      <c r="AP61" s="18"/>
      <c r="AQ61" s="11" t="s">
        <v>998</v>
      </c>
      <c r="AR61" s="34" t="e">
        <f>VLOOKUP(A61,#REF!,2,FALSE)</f>
        <v>#REF!</v>
      </c>
      <c r="AS61" s="87" t="s">
        <v>999</v>
      </c>
      <c r="AT61" s="94" t="s">
        <v>1000</v>
      </c>
      <c r="AU61" s="98" t="s">
        <v>1001</v>
      </c>
      <c r="AV61" s="34">
        <v>1</v>
      </c>
      <c r="AW61" s="95" t="s">
        <v>1002</v>
      </c>
    </row>
    <row r="62" spans="1:50" ht="48">
      <c r="A62" s="11" t="s">
        <v>1003</v>
      </c>
      <c r="B62" s="11" t="str">
        <f t="shared" si="10"/>
        <v>tnd-msa-sp-wsclientes0074</v>
      </c>
      <c r="C62" s="57" t="s">
        <v>1004</v>
      </c>
      <c r="D62" s="11" t="s">
        <v>61</v>
      </c>
      <c r="E62" s="114" t="str">
        <f>VLOOKUP(D62,Tribus!$A$1:$B$33,2,FALSE)</f>
        <v>tnd</v>
      </c>
      <c r="F62" s="12" t="s">
        <v>237</v>
      </c>
      <c r="G62" s="12" t="s">
        <v>238</v>
      </c>
      <c r="H62" s="12" t="s">
        <v>239</v>
      </c>
      <c r="I62" s="151" t="s">
        <v>240</v>
      </c>
      <c r="J62" s="19" t="s">
        <v>1005</v>
      </c>
      <c r="K62" s="22" t="s">
        <v>902</v>
      </c>
      <c r="L62" s="19" t="s">
        <v>241</v>
      </c>
      <c r="M62" s="15">
        <v>1</v>
      </c>
      <c r="N62" s="14" t="s">
        <v>148</v>
      </c>
      <c r="O62" s="15" t="s">
        <v>505</v>
      </c>
      <c r="P62" s="15">
        <v>1</v>
      </c>
      <c r="Q62" s="14" t="s">
        <v>148</v>
      </c>
      <c r="R62" s="15" t="s">
        <v>242</v>
      </c>
      <c r="S62" s="15">
        <v>0</v>
      </c>
      <c r="T62" s="14" t="s">
        <v>148</v>
      </c>
      <c r="U62" s="38" t="s">
        <v>242</v>
      </c>
      <c r="V62" s="38"/>
      <c r="W62" s="14" t="s">
        <v>148</v>
      </c>
      <c r="X62" s="15" t="s">
        <v>1006</v>
      </c>
      <c r="Y62" s="15" t="s">
        <v>1007</v>
      </c>
      <c r="Z62" s="15"/>
      <c r="AA62" s="15"/>
      <c r="AB62" s="14" t="s">
        <v>148</v>
      </c>
      <c r="AC62" s="15" t="s">
        <v>898</v>
      </c>
      <c r="AD62" s="14" t="s">
        <v>149</v>
      </c>
      <c r="AE62" s="13"/>
      <c r="AF62" s="15" t="s">
        <v>361</v>
      </c>
      <c r="AG62" s="15"/>
      <c r="AH62" s="15">
        <v>1</v>
      </c>
      <c r="AI62" s="14" t="s">
        <v>148</v>
      </c>
      <c r="AJ62" s="15" t="s">
        <v>171</v>
      </c>
      <c r="AK62" s="14" t="s">
        <v>148</v>
      </c>
      <c r="AL62" s="39" t="s">
        <v>1008</v>
      </c>
      <c r="AM62" s="14" t="s">
        <v>148</v>
      </c>
      <c r="AN62" s="141">
        <f>IFERROR(SUM(CHOOSE(MATCH(N62,{"Baja";"Media";"Alta"},0),1,2,3),
CHOOSE(MATCH(Q62,{"Baja";"Media";"Alta"},0),1,2,3),
CHOOSE(MATCH(T62,{"Baja";"Media";"Alta"},0),1,2,3),
CHOOSE(MATCH(W62,{"Baja";"Media";"Alta"},0),1,2,3),
CHOOSE(MATCH(AB62,{"Baja";"Media";"Alta"},0),1,2,3),
CHOOSE(MATCH(AD62,{"Baja";"Media";"Alta"},0),1,2,3),
CHOOSE(MATCH(AI62,{"Baja";"Media";"Alta"},0),1,2,3),
CHOOSE(MATCH(AK62,{"Baja";"Media";"Alta"},0),1,2,3),
CHOOSE(MATCH(AM62,{"Baja";"Media";"Alta"},0),1,2,3)),0)</f>
        <v>10</v>
      </c>
      <c r="AO62" s="67" t="str">
        <f t="shared" si="9"/>
        <v>Bajo</v>
      </c>
      <c r="AP62" s="18"/>
      <c r="AQ62" s="11"/>
      <c r="AR62" s="34" t="e">
        <f>VLOOKUP(A62,#REF!,2,FALSE)</f>
        <v>#REF!</v>
      </c>
      <c r="AS62" s="88" t="s">
        <v>1009</v>
      </c>
      <c r="AT62" s="94" t="s">
        <v>1010</v>
      </c>
      <c r="AU62" s="88" t="s">
        <v>1011</v>
      </c>
      <c r="AV62" s="34">
        <v>1</v>
      </c>
      <c r="AW62" s="95" t="s">
        <v>1012</v>
      </c>
    </row>
    <row r="63" spans="1:50" ht="48">
      <c r="A63" s="11" t="s">
        <v>1013</v>
      </c>
      <c r="B63" s="11" t="str">
        <f t="shared" si="10"/>
        <v>tpr-msa-sp-wsclientes0075</v>
      </c>
      <c r="C63" s="57" t="s">
        <v>1014</v>
      </c>
      <c r="D63" s="11" t="s">
        <v>59</v>
      </c>
      <c r="E63" s="114" t="str">
        <f>VLOOKUP(D63,Tribus!$A$1:$B$33,2,FALSE)</f>
        <v>tpr</v>
      </c>
      <c r="F63" s="12" t="s">
        <v>237</v>
      </c>
      <c r="G63" s="12" t="s">
        <v>238</v>
      </c>
      <c r="H63" s="12" t="s">
        <v>239</v>
      </c>
      <c r="I63" s="151" t="s">
        <v>240</v>
      </c>
      <c r="J63" s="19" t="s">
        <v>1015</v>
      </c>
      <c r="K63" s="22" t="s">
        <v>902</v>
      </c>
      <c r="L63" s="19" t="s">
        <v>241</v>
      </c>
      <c r="M63" s="15">
        <v>1</v>
      </c>
      <c r="N63" s="14" t="s">
        <v>148</v>
      </c>
      <c r="O63" s="15" t="s">
        <v>505</v>
      </c>
      <c r="P63" s="15">
        <v>1</v>
      </c>
      <c r="Q63" s="14" t="s">
        <v>148</v>
      </c>
      <c r="R63" s="15" t="s">
        <v>242</v>
      </c>
      <c r="S63" s="15">
        <v>0</v>
      </c>
      <c r="T63" s="14" t="s">
        <v>148</v>
      </c>
      <c r="U63" s="38" t="s">
        <v>242</v>
      </c>
      <c r="V63" s="38"/>
      <c r="W63" s="14" t="s">
        <v>148</v>
      </c>
      <c r="X63" s="15" t="s">
        <v>1016</v>
      </c>
      <c r="Y63" s="15" t="s">
        <v>1017</v>
      </c>
      <c r="Z63" s="15"/>
      <c r="AA63" s="15"/>
      <c r="AB63" s="14" t="s">
        <v>148</v>
      </c>
      <c r="AC63" s="15" t="s">
        <v>677</v>
      </c>
      <c r="AD63" s="14" t="s">
        <v>149</v>
      </c>
      <c r="AE63" s="13"/>
      <c r="AF63" s="15" t="s">
        <v>395</v>
      </c>
      <c r="AG63" s="19" t="s">
        <v>1018</v>
      </c>
      <c r="AH63" s="15">
        <v>2</v>
      </c>
      <c r="AI63" s="14" t="s">
        <v>149</v>
      </c>
      <c r="AJ63" s="15" t="s">
        <v>171</v>
      </c>
      <c r="AK63" s="14" t="s">
        <v>148</v>
      </c>
      <c r="AL63" s="39" t="s">
        <v>1019</v>
      </c>
      <c r="AM63" s="14" t="s">
        <v>148</v>
      </c>
      <c r="AN63" s="141">
        <f>IFERROR(SUM(CHOOSE(MATCH(N63,{"Baja";"Media";"Alta"},0),1,2,3),
CHOOSE(MATCH(Q63,{"Baja";"Media";"Alta"},0),1,2,3),
CHOOSE(MATCH(T63,{"Baja";"Media";"Alta"},0),1,2,3),
CHOOSE(MATCH(W63,{"Baja";"Media";"Alta"},0),1,2,3),
CHOOSE(MATCH(AB63,{"Baja";"Media";"Alta"},0),1,2,3),
CHOOSE(MATCH(AD63,{"Baja";"Media";"Alta"},0),1,2,3),
CHOOSE(MATCH(AI63,{"Baja";"Media";"Alta"},0),1,2,3),
CHOOSE(MATCH(AK63,{"Baja";"Media";"Alta"},0),1,2,3),
CHOOSE(MATCH(AM63,{"Baja";"Media";"Alta"},0),1,2,3)),0)</f>
        <v>11</v>
      </c>
      <c r="AO63" s="67" t="str">
        <f t="shared" si="9"/>
        <v>Bajo</v>
      </c>
      <c r="AP63" s="18"/>
      <c r="AQ63" s="11"/>
      <c r="AR63" s="34" t="e">
        <f>VLOOKUP(A63,#REF!,2,FALSE)</f>
        <v>#REF!</v>
      </c>
      <c r="AS63" s="88" t="s">
        <v>1020</v>
      </c>
      <c r="AT63" s="94" t="s">
        <v>1021</v>
      </c>
      <c r="AU63" s="88" t="s">
        <v>1022</v>
      </c>
      <c r="AV63" s="34">
        <v>1</v>
      </c>
      <c r="AW63" s="95" t="s">
        <v>1023</v>
      </c>
    </row>
    <row r="64" spans="1:50" ht="48">
      <c r="A64" s="11" t="s">
        <v>1024</v>
      </c>
      <c r="B64" s="11" t="str">
        <f t="shared" si="10"/>
        <v>tnd-msa-sp-wsclientes0077</v>
      </c>
      <c r="C64" s="57" t="s">
        <v>1025</v>
      </c>
      <c r="D64" s="11" t="s">
        <v>61</v>
      </c>
      <c r="E64" s="114" t="str">
        <f>VLOOKUP(D64,Tribus!$A$1:$B$33,2,FALSE)</f>
        <v>tnd</v>
      </c>
      <c r="F64" s="12" t="s">
        <v>237</v>
      </c>
      <c r="G64" s="12" t="s">
        <v>238</v>
      </c>
      <c r="H64" s="12" t="s">
        <v>239</v>
      </c>
      <c r="I64" s="151" t="s">
        <v>240</v>
      </c>
      <c r="J64" s="19" t="s">
        <v>1026</v>
      </c>
      <c r="K64" s="22" t="s">
        <v>902</v>
      </c>
      <c r="L64" s="19" t="s">
        <v>241</v>
      </c>
      <c r="M64" s="15">
        <v>1</v>
      </c>
      <c r="N64" s="14" t="s">
        <v>148</v>
      </c>
      <c r="O64" s="19" t="s">
        <v>754</v>
      </c>
      <c r="P64" s="15">
        <v>2</v>
      </c>
      <c r="Q64" s="14" t="s">
        <v>149</v>
      </c>
      <c r="R64" s="15" t="s">
        <v>242</v>
      </c>
      <c r="S64" s="15">
        <v>0</v>
      </c>
      <c r="T64" s="14" t="s">
        <v>148</v>
      </c>
      <c r="U64" s="84" t="s">
        <v>242</v>
      </c>
      <c r="V64" s="15"/>
      <c r="W64" s="14" t="s">
        <v>148</v>
      </c>
      <c r="X64" s="15" t="s">
        <v>1027</v>
      </c>
      <c r="Y64" s="15" t="s">
        <v>1028</v>
      </c>
      <c r="Z64" s="15"/>
      <c r="AA64" s="15"/>
      <c r="AB64" s="14" t="s">
        <v>149</v>
      </c>
      <c r="AC64" s="15" t="s">
        <v>677</v>
      </c>
      <c r="AD64" s="14" t="s">
        <v>149</v>
      </c>
      <c r="AE64" s="19" t="s">
        <v>79</v>
      </c>
      <c r="AF64" s="19" t="s">
        <v>1029</v>
      </c>
      <c r="AG64" s="15"/>
      <c r="AH64" s="15">
        <v>3</v>
      </c>
      <c r="AI64" s="14" t="s">
        <v>149</v>
      </c>
      <c r="AJ64" s="15" t="s">
        <v>242</v>
      </c>
      <c r="AK64" s="14" t="s">
        <v>148</v>
      </c>
      <c r="AL64" s="39" t="s">
        <v>1030</v>
      </c>
      <c r="AM64" s="14" t="s">
        <v>148</v>
      </c>
      <c r="AN64" s="141">
        <f>IFERROR(SUM(CHOOSE(MATCH(N64,{"Baja";"Media";"Alta"},0),1,2,3),
CHOOSE(MATCH(Q64,{"Baja";"Media";"Alta"},0),1,2,3),
CHOOSE(MATCH(T64,{"Baja";"Media";"Alta"},0),1,2,3),
CHOOSE(MATCH(W64,{"Baja";"Media";"Alta"},0),1,2,3),
CHOOSE(MATCH(AB64,{"Baja";"Media";"Alta"},0),1,2,3),
CHOOSE(MATCH(AD64,{"Baja";"Media";"Alta"},0),1,2,3),
CHOOSE(MATCH(AI64,{"Baja";"Media";"Alta"},0),1,2,3),
CHOOSE(MATCH(AK64,{"Baja";"Media";"Alta"},0),1,2,3),
CHOOSE(MATCH(AM64,{"Baja";"Media";"Alta"},0),1,2,3)),0)</f>
        <v>13</v>
      </c>
      <c r="AO64" s="67" t="str">
        <f t="shared" si="9"/>
        <v>Bajo</v>
      </c>
      <c r="AP64" s="18"/>
      <c r="AQ64" s="11"/>
      <c r="AR64" s="34" t="e">
        <f>VLOOKUP(A64,#REF!,2,FALSE)</f>
        <v>#REF!</v>
      </c>
      <c r="AS64" s="87" t="s">
        <v>1031</v>
      </c>
      <c r="AT64" s="94" t="s">
        <v>1032</v>
      </c>
      <c r="AU64" s="87" t="s">
        <v>1033</v>
      </c>
      <c r="AV64" s="34">
        <v>1</v>
      </c>
      <c r="AW64" s="95" t="s">
        <v>1034</v>
      </c>
    </row>
    <row r="65" spans="1:50" ht="48">
      <c r="A65" s="11" t="s">
        <v>1035</v>
      </c>
      <c r="B65" s="11" t="str">
        <f t="shared" si="10"/>
        <v>tpr-msa-sp-wsclientes0078</v>
      </c>
      <c r="C65" s="57" t="s">
        <v>1036</v>
      </c>
      <c r="D65" s="11" t="s">
        <v>59</v>
      </c>
      <c r="E65" s="114" t="str">
        <f>VLOOKUP(D65,Tribus!$A$1:$B$33,2,FALSE)</f>
        <v>tpr</v>
      </c>
      <c r="F65" s="12" t="s">
        <v>237</v>
      </c>
      <c r="G65" s="12" t="s">
        <v>238</v>
      </c>
      <c r="H65" s="12" t="s">
        <v>239</v>
      </c>
      <c r="I65" s="151" t="s">
        <v>240</v>
      </c>
      <c r="J65" s="64" t="s">
        <v>1037</v>
      </c>
      <c r="K65" s="19" t="s">
        <v>1038</v>
      </c>
      <c r="L65" s="19" t="s">
        <v>241</v>
      </c>
      <c r="M65" s="15">
        <v>1</v>
      </c>
      <c r="N65" s="14" t="s">
        <v>148</v>
      </c>
      <c r="O65" s="19" t="s">
        <v>1039</v>
      </c>
      <c r="P65" s="15">
        <v>2</v>
      </c>
      <c r="Q65" s="14" t="s">
        <v>149</v>
      </c>
      <c r="R65" s="15" t="s">
        <v>242</v>
      </c>
      <c r="S65" s="15">
        <v>0</v>
      </c>
      <c r="T65" s="14" t="s">
        <v>148</v>
      </c>
      <c r="U65" s="84" t="s">
        <v>242</v>
      </c>
      <c r="V65" s="15"/>
      <c r="W65" s="14" t="s">
        <v>148</v>
      </c>
      <c r="X65" s="15" t="s">
        <v>1040</v>
      </c>
      <c r="Y65" s="15" t="s">
        <v>1041</v>
      </c>
      <c r="Z65" s="15"/>
      <c r="AA65" s="15"/>
      <c r="AB65" s="14" t="s">
        <v>148</v>
      </c>
      <c r="AC65" s="15" t="s">
        <v>677</v>
      </c>
      <c r="AD65" s="14" t="s">
        <v>149</v>
      </c>
      <c r="AE65" s="19" t="s">
        <v>79</v>
      </c>
      <c r="AF65" s="19" t="s">
        <v>1042</v>
      </c>
      <c r="AG65" s="15"/>
      <c r="AH65" s="15">
        <v>3</v>
      </c>
      <c r="AI65" s="14" t="s">
        <v>149</v>
      </c>
      <c r="AJ65" s="15" t="s">
        <v>242</v>
      </c>
      <c r="AK65" s="14" t="s">
        <v>148</v>
      </c>
      <c r="AL65" s="39" t="s">
        <v>1043</v>
      </c>
      <c r="AM65" s="14" t="s">
        <v>148</v>
      </c>
      <c r="AN65" s="141">
        <f>IFERROR(SUM(CHOOSE(MATCH(N65,{"Baja";"Media";"Alta"},0),1,2,3),
CHOOSE(MATCH(Q65,{"Baja";"Media";"Alta"},0),1,2,3),
CHOOSE(MATCH(T65,{"Baja";"Media";"Alta"},0),1,2,3),
CHOOSE(MATCH(W65,{"Baja";"Media";"Alta"},0),1,2,3),
CHOOSE(MATCH(AB65,{"Baja";"Media";"Alta"},0),1,2,3),
CHOOSE(MATCH(AD65,{"Baja";"Media";"Alta"},0),1,2,3),
CHOOSE(MATCH(AI65,{"Baja";"Media";"Alta"},0),1,2,3),
CHOOSE(MATCH(AK65,{"Baja";"Media";"Alta"},0),1,2,3),
CHOOSE(MATCH(AM65,{"Baja";"Media";"Alta"},0),1,2,3)),0)</f>
        <v>12</v>
      </c>
      <c r="AO65" s="67" t="str">
        <f t="shared" si="9"/>
        <v>Bajo</v>
      </c>
      <c r="AP65" s="18"/>
      <c r="AQ65" s="11"/>
      <c r="AR65" s="34" t="e">
        <f>VLOOKUP(A65,#REF!,2,FALSE)</f>
        <v>#REF!</v>
      </c>
      <c r="AS65" s="87" t="s">
        <v>1044</v>
      </c>
      <c r="AT65" s="94" t="s">
        <v>1045</v>
      </c>
      <c r="AU65" s="94" t="s">
        <v>1046</v>
      </c>
      <c r="AV65" s="34">
        <v>1</v>
      </c>
      <c r="AW65" s="95" t="s">
        <v>1047</v>
      </c>
    </row>
    <row r="66" spans="1:50" ht="64">
      <c r="A66" s="11" t="s">
        <v>1048</v>
      </c>
      <c r="B66" s="11" t="str">
        <f t="shared" si="10"/>
        <v>tpr-msa-sp-wsclientes0080</v>
      </c>
      <c r="C66" s="57" t="s">
        <v>1049</v>
      </c>
      <c r="D66" s="11" t="s">
        <v>59</v>
      </c>
      <c r="E66" s="114" t="str">
        <f>VLOOKUP(D66,Tribus!$A$1:$B$33,2,FALSE)</f>
        <v>tpr</v>
      </c>
      <c r="F66" s="12" t="s">
        <v>237</v>
      </c>
      <c r="G66" s="12" t="s">
        <v>238</v>
      </c>
      <c r="H66" s="12" t="s">
        <v>239</v>
      </c>
      <c r="I66" s="151" t="s">
        <v>240</v>
      </c>
      <c r="J66" s="19" t="s">
        <v>1050</v>
      </c>
      <c r="K66" s="19" t="s">
        <v>1051</v>
      </c>
      <c r="L66" s="19" t="s">
        <v>241</v>
      </c>
      <c r="M66" s="15">
        <v>1</v>
      </c>
      <c r="N66" s="14" t="s">
        <v>148</v>
      </c>
      <c r="O66" s="15" t="s">
        <v>101</v>
      </c>
      <c r="P66" s="15">
        <v>1</v>
      </c>
      <c r="Q66" s="14" t="s">
        <v>148</v>
      </c>
      <c r="R66" s="15" t="s">
        <v>242</v>
      </c>
      <c r="S66" s="15">
        <v>0</v>
      </c>
      <c r="T66" s="14" t="s">
        <v>148</v>
      </c>
      <c r="U66" s="84" t="s">
        <v>242</v>
      </c>
      <c r="V66" s="15"/>
      <c r="W66" s="14" t="s">
        <v>148</v>
      </c>
      <c r="X66" s="15" t="s">
        <v>1052</v>
      </c>
      <c r="Y66" s="15" t="s">
        <v>1053</v>
      </c>
      <c r="Z66" s="15"/>
      <c r="AA66" s="15"/>
      <c r="AB66" s="14" t="s">
        <v>148</v>
      </c>
      <c r="AC66" s="15" t="s">
        <v>905</v>
      </c>
      <c r="AD66" s="14" t="s">
        <v>149</v>
      </c>
      <c r="AE66" s="19" t="s">
        <v>63</v>
      </c>
      <c r="AF66" s="15" t="s">
        <v>351</v>
      </c>
      <c r="AG66" s="15">
        <v>0</v>
      </c>
      <c r="AH66" s="15">
        <v>1</v>
      </c>
      <c r="AI66" s="14" t="s">
        <v>148</v>
      </c>
      <c r="AJ66" s="15" t="s">
        <v>171</v>
      </c>
      <c r="AK66" s="14" t="s">
        <v>148</v>
      </c>
      <c r="AL66" s="39" t="s">
        <v>1054</v>
      </c>
      <c r="AM66" s="14" t="s">
        <v>148</v>
      </c>
      <c r="AN66" s="141">
        <f>IFERROR(SUM(CHOOSE(MATCH(N66,{"Baja";"Media";"Alta"},0),1,2,3),
CHOOSE(MATCH(Q66,{"Baja";"Media";"Alta"},0),1,2,3),
CHOOSE(MATCH(T66,{"Baja";"Media";"Alta"},0),1,2,3),
CHOOSE(MATCH(W66,{"Baja";"Media";"Alta"},0),1,2,3),
CHOOSE(MATCH(AB66,{"Baja";"Media";"Alta"},0),1,2,3),
CHOOSE(MATCH(AD66,{"Baja";"Media";"Alta"},0),1,2,3),
CHOOSE(MATCH(AI66,{"Baja";"Media";"Alta"},0),1,2,3),
CHOOSE(MATCH(AK66,{"Baja";"Media";"Alta"},0),1,2,3),
CHOOSE(MATCH(AM66,{"Baja";"Media";"Alta"},0),1,2,3)),0)</f>
        <v>10</v>
      </c>
      <c r="AO66" s="67" t="str">
        <f t="shared" si="9"/>
        <v>Bajo</v>
      </c>
      <c r="AP66" s="18"/>
      <c r="AQ66" s="11"/>
      <c r="AR66" s="34" t="e">
        <f>VLOOKUP(A66,#REF!,2,FALSE)</f>
        <v>#REF!</v>
      </c>
      <c r="AS66" s="98" t="s">
        <v>1055</v>
      </c>
      <c r="AT66" s="124" t="s">
        <v>1056</v>
      </c>
      <c r="AU66" s="124" t="s">
        <v>1057</v>
      </c>
      <c r="AV66" s="34">
        <v>1</v>
      </c>
      <c r="AW66" s="95" t="s">
        <v>1047</v>
      </c>
    </row>
    <row r="67" spans="1:50" ht="48">
      <c r="A67" s="11" t="s">
        <v>1058</v>
      </c>
      <c r="B67" s="11" t="str">
        <f t="shared" si="10"/>
        <v>tnd-msa-sp-wsclientes0081</v>
      </c>
      <c r="C67" s="57" t="s">
        <v>1059</v>
      </c>
      <c r="D67" s="11" t="s">
        <v>61</v>
      </c>
      <c r="E67" s="114" t="str">
        <f>VLOOKUP(D67,Tribus!$A$1:$B$33,2,FALSE)</f>
        <v>tnd</v>
      </c>
      <c r="F67" s="12" t="s">
        <v>237</v>
      </c>
      <c r="G67" s="12" t="s">
        <v>238</v>
      </c>
      <c r="H67" s="12" t="s">
        <v>239</v>
      </c>
      <c r="I67" s="151" t="s">
        <v>240</v>
      </c>
      <c r="J67" s="15" t="s">
        <v>1060</v>
      </c>
      <c r="K67" s="15" t="s">
        <v>902</v>
      </c>
      <c r="L67" s="15" t="s">
        <v>241</v>
      </c>
      <c r="M67" s="15">
        <v>1</v>
      </c>
      <c r="N67" s="14" t="s">
        <v>148</v>
      </c>
      <c r="O67" s="15" t="s">
        <v>101</v>
      </c>
      <c r="P67" s="15">
        <v>1</v>
      </c>
      <c r="Q67" s="14" t="s">
        <v>148</v>
      </c>
      <c r="R67" s="15" t="s">
        <v>456</v>
      </c>
      <c r="S67" s="15">
        <v>0</v>
      </c>
      <c r="T67" s="14" t="s">
        <v>148</v>
      </c>
      <c r="U67" s="84" t="s">
        <v>242</v>
      </c>
      <c r="V67" s="15"/>
      <c r="W67" s="14" t="s">
        <v>148</v>
      </c>
      <c r="X67" s="15" t="s">
        <v>1061</v>
      </c>
      <c r="Y67" s="15" t="s">
        <v>1062</v>
      </c>
      <c r="Z67" s="15"/>
      <c r="AA67" s="15"/>
      <c r="AB67" s="14" t="s">
        <v>148</v>
      </c>
      <c r="AC67" s="15" t="s">
        <v>395</v>
      </c>
      <c r="AD67" s="14" t="s">
        <v>149</v>
      </c>
      <c r="AE67" s="19" t="s">
        <v>1063</v>
      </c>
      <c r="AF67" s="15" t="s">
        <v>395</v>
      </c>
      <c r="AG67" s="15"/>
      <c r="AH67" s="15">
        <v>1</v>
      </c>
      <c r="AI67" s="14" t="s">
        <v>148</v>
      </c>
      <c r="AJ67" s="15" t="s">
        <v>456</v>
      </c>
      <c r="AK67" s="14" t="s">
        <v>148</v>
      </c>
      <c r="AL67" s="15" t="s">
        <v>1064</v>
      </c>
      <c r="AM67" s="14" t="s">
        <v>148</v>
      </c>
      <c r="AN67" s="141">
        <f>IFERROR(SUM(CHOOSE(MATCH(N67,{"Baja";"Media";"Alta"},0),1,2,3),
CHOOSE(MATCH(Q67,{"Baja";"Media";"Alta"},0),1,2,3),
CHOOSE(MATCH(T67,{"Baja";"Media";"Alta"},0),1,2,3),
CHOOSE(MATCH(W67,{"Baja";"Media";"Alta"},0),1,2,3),
CHOOSE(MATCH(AB67,{"Baja";"Media";"Alta"},0),1,2,3),
CHOOSE(MATCH(AD67,{"Baja";"Media";"Alta"},0),1,2,3),
CHOOSE(MATCH(AI67,{"Baja";"Media";"Alta"},0),1,2,3),
CHOOSE(MATCH(AK67,{"Baja";"Media";"Alta"},0),1,2,3),
CHOOSE(MATCH(AM67,{"Baja";"Media";"Alta"},0),1,2,3)),0)</f>
        <v>10</v>
      </c>
      <c r="AO67" s="67" t="str">
        <f t="shared" si="9"/>
        <v>Bajo</v>
      </c>
      <c r="AP67" s="18"/>
      <c r="AQ67" s="11"/>
      <c r="AR67" s="34" t="e">
        <f>VLOOKUP(A67,#REF!,2,FALSE)</f>
        <v>#REF!</v>
      </c>
      <c r="AS67" s="57" t="s">
        <v>1065</v>
      </c>
      <c r="AT67" s="94" t="s">
        <v>1066</v>
      </c>
      <c r="AU67" s="57" t="s">
        <v>1067</v>
      </c>
      <c r="AV67" s="34">
        <v>1</v>
      </c>
      <c r="AW67" s="95" t="s">
        <v>1068</v>
      </c>
    </row>
    <row r="68" spans="1:50" ht="96">
      <c r="A68" s="11" t="s">
        <v>1069</v>
      </c>
      <c r="B68" s="11" t="str">
        <f t="shared" si="10"/>
        <v>tnd-msa-sp-wsclientes0082</v>
      </c>
      <c r="C68" s="57" t="s">
        <v>1070</v>
      </c>
      <c r="D68" s="11" t="s">
        <v>61</v>
      </c>
      <c r="E68" s="114" t="str">
        <f>VLOOKUP(D68,Tribus!$A$1:$B$33,2,FALSE)</f>
        <v>tnd</v>
      </c>
      <c r="F68" s="12" t="s">
        <v>237</v>
      </c>
      <c r="G68" s="12" t="s">
        <v>238</v>
      </c>
      <c r="H68" s="12" t="s">
        <v>239</v>
      </c>
      <c r="I68" s="151" t="s">
        <v>240</v>
      </c>
      <c r="J68" s="19" t="s">
        <v>1071</v>
      </c>
      <c r="K68" s="15" t="s">
        <v>902</v>
      </c>
      <c r="L68" s="19" t="s">
        <v>241</v>
      </c>
      <c r="M68" s="15">
        <v>2</v>
      </c>
      <c r="N68" s="14" t="s">
        <v>149</v>
      </c>
      <c r="O68" s="15" t="s">
        <v>505</v>
      </c>
      <c r="P68" s="15">
        <v>1</v>
      </c>
      <c r="Q68" s="14" t="s">
        <v>148</v>
      </c>
      <c r="R68" s="15" t="s">
        <v>242</v>
      </c>
      <c r="S68" s="15">
        <v>0</v>
      </c>
      <c r="T68" s="14" t="s">
        <v>148</v>
      </c>
      <c r="U68" s="84" t="s">
        <v>242</v>
      </c>
      <c r="V68" s="15"/>
      <c r="W68" s="14" t="s">
        <v>148</v>
      </c>
      <c r="X68" s="15" t="s">
        <v>1072</v>
      </c>
      <c r="Y68" s="15" t="s">
        <v>1073</v>
      </c>
      <c r="Z68" s="15"/>
      <c r="AA68" s="15"/>
      <c r="AB68" s="14" t="s">
        <v>148</v>
      </c>
      <c r="AC68" s="15"/>
      <c r="AD68" s="14" t="s">
        <v>149</v>
      </c>
      <c r="AE68" s="130"/>
      <c r="AF68" s="19" t="s">
        <v>1074</v>
      </c>
      <c r="AG68" s="15"/>
      <c r="AH68" s="15">
        <v>3</v>
      </c>
      <c r="AI68" s="14" t="s">
        <v>149</v>
      </c>
      <c r="AJ68" s="15" t="s">
        <v>769</v>
      </c>
      <c r="AK68" s="14" t="s">
        <v>148</v>
      </c>
      <c r="AL68" s="10" t="s">
        <v>1075</v>
      </c>
      <c r="AM68" s="14" t="s">
        <v>148</v>
      </c>
      <c r="AN68" s="141">
        <f>IFERROR(SUM(CHOOSE(MATCH(N68,{"Baja";"Media";"Alta"},0),1,2,3),
CHOOSE(MATCH(Q68,{"Baja";"Media";"Alta"},0),1,2,3),
CHOOSE(MATCH(T68,{"Baja";"Media";"Alta"},0),1,2,3),
CHOOSE(MATCH(W68,{"Baja";"Media";"Alta"},0),1,2,3),
CHOOSE(MATCH(AB68,{"Baja";"Media";"Alta"},0),1,2,3),
CHOOSE(MATCH(AD68,{"Baja";"Media";"Alta"},0),1,2,3),
CHOOSE(MATCH(AI68,{"Baja";"Media";"Alta"},0),1,2,3),
CHOOSE(MATCH(AK68,{"Baja";"Media";"Alta"},0),1,2,3),
CHOOSE(MATCH(AM68,{"Baja";"Media";"Alta"},0),1,2,3)),0)</f>
        <v>12</v>
      </c>
      <c r="AO68" s="67" t="str">
        <f t="shared" si="9"/>
        <v>Bajo</v>
      </c>
      <c r="AP68" s="18"/>
      <c r="AQ68" s="11" t="s">
        <v>1076</v>
      </c>
      <c r="AR68" s="34" t="e">
        <f>VLOOKUP(A68,#REF!,2,FALSE)</f>
        <v>#REF!</v>
      </c>
      <c r="AS68" s="87" t="s">
        <v>1077</v>
      </c>
      <c r="AT68" s="94" t="s">
        <v>1078</v>
      </c>
      <c r="AU68" s="98" t="s">
        <v>1079</v>
      </c>
      <c r="AV68" s="34">
        <v>1</v>
      </c>
      <c r="AW68" s="95" t="s">
        <v>1080</v>
      </c>
    </row>
    <row r="69" spans="1:50" ht="112">
      <c r="A69" s="11" t="s">
        <v>1081</v>
      </c>
      <c r="B69" s="11" t="str">
        <f t="shared" ref="B69:B77" si="11">CONCATENATE(LOWER(E69),"-msa-sp-",LOWER(A69))</f>
        <v>tnd-msa-sp-wsclientes0096</v>
      </c>
      <c r="C69" s="57" t="s">
        <v>1082</v>
      </c>
      <c r="D69" s="11" t="s">
        <v>61</v>
      </c>
      <c r="E69" s="114" t="str">
        <f>VLOOKUP(D69,Tribus!$A$1:$B$33,2,FALSE)</f>
        <v>tnd</v>
      </c>
      <c r="F69" s="12" t="s">
        <v>237</v>
      </c>
      <c r="G69" s="12" t="s">
        <v>238</v>
      </c>
      <c r="H69" s="12" t="s">
        <v>239</v>
      </c>
      <c r="I69" s="151" t="s">
        <v>240</v>
      </c>
      <c r="J69" s="19" t="s">
        <v>1083</v>
      </c>
      <c r="K69" s="15" t="s">
        <v>775</v>
      </c>
      <c r="L69" s="15" t="s">
        <v>241</v>
      </c>
      <c r="M69" s="15">
        <v>1</v>
      </c>
      <c r="N69" s="14" t="s">
        <v>148</v>
      </c>
      <c r="O69" s="84" t="s">
        <v>101</v>
      </c>
      <c r="P69" s="15">
        <v>1</v>
      </c>
      <c r="Q69" s="14" t="s">
        <v>148</v>
      </c>
      <c r="R69" s="84" t="s">
        <v>242</v>
      </c>
      <c r="S69" s="15">
        <v>0</v>
      </c>
      <c r="T69" s="14" t="s">
        <v>148</v>
      </c>
      <c r="U69" s="38" t="s">
        <v>242</v>
      </c>
      <c r="V69" s="38" t="s">
        <v>492</v>
      </c>
      <c r="W69" s="14" t="s">
        <v>148</v>
      </c>
      <c r="X69" s="84">
        <v>38</v>
      </c>
      <c r="Y69" s="84" t="s">
        <v>1084</v>
      </c>
      <c r="Z69" s="84"/>
      <c r="AA69" s="84"/>
      <c r="AB69" s="14" t="s">
        <v>148</v>
      </c>
      <c r="AC69" s="15" t="s">
        <v>678</v>
      </c>
      <c r="AD69" s="14" t="s">
        <v>149</v>
      </c>
      <c r="AE69" s="19" t="s">
        <v>61</v>
      </c>
      <c r="AF69" s="19" t="s">
        <v>1085</v>
      </c>
      <c r="AG69" s="15" t="s">
        <v>676</v>
      </c>
      <c r="AH69" s="15">
        <v>2</v>
      </c>
      <c r="AI69" s="14" t="s">
        <v>149</v>
      </c>
      <c r="AJ69" s="15">
        <v>0</v>
      </c>
      <c r="AK69" s="14" t="s">
        <v>148</v>
      </c>
      <c r="AL69" s="39" t="s">
        <v>1086</v>
      </c>
      <c r="AM69" s="14" t="s">
        <v>148</v>
      </c>
      <c r="AN69" s="141">
        <f>IFERROR(SUM(CHOOSE(MATCH(N69,{"Baja";"Media";"Alta"},0),1,2,3),
CHOOSE(MATCH(Q69,{"Baja";"Media";"Alta"},0),1,2,3),
CHOOSE(MATCH(T69,{"Baja";"Media";"Alta"},0),1,2,3),
CHOOSE(MATCH(W69,{"Baja";"Media";"Alta"},0),1,2,3),
CHOOSE(MATCH(AB69,{"Baja";"Media";"Alta"},0),1,2,3),
CHOOSE(MATCH(AD69,{"Baja";"Media";"Alta"},0),1,2,3),
CHOOSE(MATCH(AI69,{"Baja";"Media";"Alta"},0),1,2,3),
CHOOSE(MATCH(AK69,{"Baja";"Media";"Alta"},0),1,2,3),
CHOOSE(MATCH(AM69,{"Baja";"Media";"Alta"},0),1,2,3)),0)</f>
        <v>11</v>
      </c>
      <c r="AO69" s="67" t="str">
        <f t="shared" ref="AO69:AO77" si="12">IF(AN69=0,"Pendiente",IF(AN69&lt;=15,"Bajo",IF(AN69&lt;=21,"Medio","Alto")))</f>
        <v>Bajo</v>
      </c>
      <c r="AP69" s="18"/>
      <c r="AQ69" s="11"/>
      <c r="AR69" s="34" t="e">
        <f>VLOOKUP(A69,#REF!,2,FALSE)</f>
        <v>#REF!</v>
      </c>
      <c r="AS69" s="87" t="s">
        <v>1087</v>
      </c>
      <c r="AT69" s="94" t="s">
        <v>1088</v>
      </c>
      <c r="AU69" s="87" t="s">
        <v>1087</v>
      </c>
      <c r="AV69" s="34">
        <v>1</v>
      </c>
      <c r="AW69" s="95" t="s">
        <v>1089</v>
      </c>
    </row>
    <row r="70" spans="1:50" s="49" customFormat="1" ht="112">
      <c r="A70" s="11" t="s">
        <v>1090</v>
      </c>
      <c r="B70" s="11" t="str">
        <f t="shared" si="11"/>
        <v>tnd-msa-sp-wsclientes0099</v>
      </c>
      <c r="C70" s="57" t="s">
        <v>1091</v>
      </c>
      <c r="D70" s="11" t="s">
        <v>61</v>
      </c>
      <c r="E70" s="114" t="str">
        <f>VLOOKUP(D70,Tribus!$A$1:$B$33,2,FALSE)</f>
        <v>tnd</v>
      </c>
      <c r="F70" s="12" t="s">
        <v>237</v>
      </c>
      <c r="G70" s="12" t="s">
        <v>238</v>
      </c>
      <c r="H70" s="12" t="s">
        <v>239</v>
      </c>
      <c r="I70" s="151" t="s">
        <v>240</v>
      </c>
      <c r="J70" s="19" t="s">
        <v>1092</v>
      </c>
      <c r="K70" s="15" t="s">
        <v>902</v>
      </c>
      <c r="L70" s="19" t="s">
        <v>241</v>
      </c>
      <c r="M70" s="15">
        <v>2</v>
      </c>
      <c r="N70" s="14" t="s">
        <v>149</v>
      </c>
      <c r="O70" s="15" t="s">
        <v>897</v>
      </c>
      <c r="P70" s="15">
        <v>1</v>
      </c>
      <c r="Q70" s="14" t="s">
        <v>148</v>
      </c>
      <c r="R70" s="15" t="s">
        <v>242</v>
      </c>
      <c r="S70" s="15">
        <v>0</v>
      </c>
      <c r="T70" s="14" t="s">
        <v>148</v>
      </c>
      <c r="U70" s="38" t="s">
        <v>242</v>
      </c>
      <c r="V70" s="38"/>
      <c r="W70" s="14" t="s">
        <v>148</v>
      </c>
      <c r="X70" s="19" t="s">
        <v>1093</v>
      </c>
      <c r="Y70" s="15" t="s">
        <v>1094</v>
      </c>
      <c r="Z70" s="15"/>
      <c r="AA70" s="15"/>
      <c r="AB70" s="14" t="s">
        <v>148</v>
      </c>
      <c r="AC70" s="15" t="s">
        <v>677</v>
      </c>
      <c r="AD70" s="14" t="s">
        <v>149</v>
      </c>
      <c r="AE70" s="19"/>
      <c r="AF70" s="19" t="s">
        <v>1095</v>
      </c>
      <c r="AG70" s="19" t="s">
        <v>1096</v>
      </c>
      <c r="AH70" s="15">
        <v>8</v>
      </c>
      <c r="AI70" s="14" t="s">
        <v>150</v>
      </c>
      <c r="AJ70" s="15" t="s">
        <v>171</v>
      </c>
      <c r="AK70" s="14" t="s">
        <v>148</v>
      </c>
      <c r="AL70" s="39" t="s">
        <v>1097</v>
      </c>
      <c r="AM70" s="14" t="s">
        <v>148</v>
      </c>
      <c r="AN70" s="141">
        <f>IFERROR(SUM(CHOOSE(MATCH(N70,{"Baja";"Media";"Alta"},0),1,2,3),
CHOOSE(MATCH(Q70,{"Baja";"Media";"Alta"},0),1,2,3),
CHOOSE(MATCH(T70,{"Baja";"Media";"Alta"},0),1,2,3),
CHOOSE(MATCH(W70,{"Baja";"Media";"Alta"},0),1,2,3),
CHOOSE(MATCH(AB70,{"Baja";"Media";"Alta"},0),1,2,3),
CHOOSE(MATCH(AD70,{"Baja";"Media";"Alta"},0),1,2,3),
CHOOSE(MATCH(AI70,{"Baja";"Media";"Alta"},0),1,2,3),
CHOOSE(MATCH(AK70,{"Baja";"Media";"Alta"},0),1,2,3),
CHOOSE(MATCH(AM70,{"Baja";"Media";"Alta"},0),1,2,3)),0)</f>
        <v>13</v>
      </c>
      <c r="AO70" s="67" t="str">
        <f t="shared" si="12"/>
        <v>Bajo</v>
      </c>
      <c r="AP70" s="18"/>
      <c r="AQ70" s="11"/>
      <c r="AR70" s="34" t="e">
        <f>VLOOKUP(A70,#REF!,2,FALSE)</f>
        <v>#REF!</v>
      </c>
      <c r="AS70" s="87" t="s">
        <v>1098</v>
      </c>
      <c r="AT70" s="94" t="s">
        <v>1099</v>
      </c>
      <c r="AU70" s="87" t="s">
        <v>1100</v>
      </c>
      <c r="AV70" s="34">
        <v>1</v>
      </c>
      <c r="AW70" s="127" t="s">
        <v>1101</v>
      </c>
      <c r="AX70"/>
    </row>
    <row r="71" spans="1:50" ht="80">
      <c r="A71" s="11" t="s">
        <v>1102</v>
      </c>
      <c r="B71" s="11" t="str">
        <f t="shared" si="11"/>
        <v>tnd-msa-sp-wsclientes0101</v>
      </c>
      <c r="C71" s="57" t="s">
        <v>1103</v>
      </c>
      <c r="D71" s="11" t="s">
        <v>61</v>
      </c>
      <c r="E71" s="114" t="str">
        <f>VLOOKUP(D71,Tribus!$A$1:$B$33,2,FALSE)</f>
        <v>tnd</v>
      </c>
      <c r="F71" s="12" t="s">
        <v>237</v>
      </c>
      <c r="G71" s="12" t="s">
        <v>238</v>
      </c>
      <c r="H71" s="12" t="s">
        <v>239</v>
      </c>
      <c r="I71" s="151" t="s">
        <v>240</v>
      </c>
      <c r="J71" s="19" t="s">
        <v>1104</v>
      </c>
      <c r="K71" s="15" t="s">
        <v>902</v>
      </c>
      <c r="L71" s="19" t="s">
        <v>241</v>
      </c>
      <c r="M71" s="15">
        <v>1</v>
      </c>
      <c r="N71" s="14" t="s">
        <v>148</v>
      </c>
      <c r="O71" s="15" t="s">
        <v>101</v>
      </c>
      <c r="P71" s="15">
        <v>1</v>
      </c>
      <c r="Q71" s="14" t="s">
        <v>148</v>
      </c>
      <c r="R71" s="15" t="s">
        <v>242</v>
      </c>
      <c r="S71" s="15">
        <v>0</v>
      </c>
      <c r="T71" s="14" t="s">
        <v>148</v>
      </c>
      <c r="U71" s="38" t="s">
        <v>242</v>
      </c>
      <c r="V71" s="38"/>
      <c r="W71" s="14" t="s">
        <v>148</v>
      </c>
      <c r="X71" s="15" t="s">
        <v>1105</v>
      </c>
      <c r="Y71" s="15" t="s">
        <v>1106</v>
      </c>
      <c r="Z71" s="15"/>
      <c r="AA71" s="15"/>
      <c r="AB71" s="14" t="s">
        <v>149</v>
      </c>
      <c r="AC71" s="15" t="s">
        <v>677</v>
      </c>
      <c r="AD71" s="14" t="s">
        <v>149</v>
      </c>
      <c r="AE71" s="19" t="s">
        <v>1107</v>
      </c>
      <c r="AF71" s="19" t="s">
        <v>1108</v>
      </c>
      <c r="AG71" s="15"/>
      <c r="AH71" s="15">
        <v>5</v>
      </c>
      <c r="AI71" s="14" t="s">
        <v>150</v>
      </c>
      <c r="AJ71" s="15" t="s">
        <v>171</v>
      </c>
      <c r="AK71" s="14" t="s">
        <v>148</v>
      </c>
      <c r="AL71" s="39" t="s">
        <v>1109</v>
      </c>
      <c r="AM71" s="14" t="s">
        <v>148</v>
      </c>
      <c r="AN71" s="141">
        <f>IFERROR(SUM(CHOOSE(MATCH(N71,{"Baja";"Media";"Alta"},0),1,2,3),
CHOOSE(MATCH(Q71,{"Baja";"Media";"Alta"},0),1,2,3),
CHOOSE(MATCH(T71,{"Baja";"Media";"Alta"},0),1,2,3),
CHOOSE(MATCH(W71,{"Baja";"Media";"Alta"},0),1,2,3),
CHOOSE(MATCH(AB71,{"Baja";"Media";"Alta"},0),1,2,3),
CHOOSE(MATCH(AD71,{"Baja";"Media";"Alta"},0),1,2,3),
CHOOSE(MATCH(AI71,{"Baja";"Media";"Alta"},0),1,2,3),
CHOOSE(MATCH(AK71,{"Baja";"Media";"Alta"},0),1,2,3),
CHOOSE(MATCH(AM71,{"Baja";"Media";"Alta"},0),1,2,3)),0)</f>
        <v>13</v>
      </c>
      <c r="AO71" s="67" t="str">
        <f t="shared" si="12"/>
        <v>Bajo</v>
      </c>
      <c r="AP71" s="18"/>
      <c r="AQ71" s="11"/>
      <c r="AR71" s="34" t="e">
        <f>VLOOKUP(A71,#REF!,2,FALSE)</f>
        <v>#REF!</v>
      </c>
      <c r="AS71" s="98" t="s">
        <v>1110</v>
      </c>
      <c r="AT71" s="94" t="s">
        <v>1111</v>
      </c>
      <c r="AU71" s="98" t="s">
        <v>1112</v>
      </c>
      <c r="AV71" s="34">
        <v>1</v>
      </c>
      <c r="AW71" s="95" t="s">
        <v>1113</v>
      </c>
    </row>
    <row r="72" spans="1:50" ht="64">
      <c r="A72" s="24" t="s">
        <v>1114</v>
      </c>
      <c r="B72" s="11" t="str">
        <f t="shared" si="11"/>
        <v>tnd-msa-sp-wsclientes0102</v>
      </c>
      <c r="C72" s="57" t="s">
        <v>1115</v>
      </c>
      <c r="D72" s="11" t="s">
        <v>61</v>
      </c>
      <c r="E72" s="114" t="str">
        <f>VLOOKUP(D72,Tribus!$A$1:$B$33,2,FALSE)</f>
        <v>tnd</v>
      </c>
      <c r="F72" s="12" t="s">
        <v>237</v>
      </c>
      <c r="G72" s="12" t="s">
        <v>238</v>
      </c>
      <c r="H72" s="12" t="s">
        <v>239</v>
      </c>
      <c r="I72" s="151" t="s">
        <v>240</v>
      </c>
      <c r="J72" s="19" t="s">
        <v>1116</v>
      </c>
      <c r="K72" s="19" t="s">
        <v>1117</v>
      </c>
      <c r="L72" s="19" t="s">
        <v>241</v>
      </c>
      <c r="M72" s="15">
        <v>3</v>
      </c>
      <c r="N72" s="14" t="s">
        <v>149</v>
      </c>
      <c r="O72" s="15" t="s">
        <v>505</v>
      </c>
      <c r="P72" s="15">
        <v>1</v>
      </c>
      <c r="Q72" s="14" t="s">
        <v>148</v>
      </c>
      <c r="R72" s="15" t="s">
        <v>242</v>
      </c>
      <c r="S72" s="15">
        <v>0</v>
      </c>
      <c r="T72" s="14" t="s">
        <v>148</v>
      </c>
      <c r="U72" s="38" t="s">
        <v>242</v>
      </c>
      <c r="V72" s="38"/>
      <c r="W72" s="14" t="s">
        <v>148</v>
      </c>
      <c r="X72" s="15" t="s">
        <v>1118</v>
      </c>
      <c r="Y72" s="15" t="s">
        <v>1119</v>
      </c>
      <c r="Z72" s="15"/>
      <c r="AA72" s="15"/>
      <c r="AB72" s="14" t="s">
        <v>148</v>
      </c>
      <c r="AC72" s="15" t="s">
        <v>898</v>
      </c>
      <c r="AD72" s="14" t="s">
        <v>149</v>
      </c>
      <c r="AE72" s="13"/>
      <c r="AF72" s="19" t="s">
        <v>463</v>
      </c>
      <c r="AG72" s="15"/>
      <c r="AH72" s="15">
        <v>1</v>
      </c>
      <c r="AI72" s="14" t="s">
        <v>148</v>
      </c>
      <c r="AJ72" s="15" t="s">
        <v>171</v>
      </c>
      <c r="AK72" s="14" t="s">
        <v>148</v>
      </c>
      <c r="AL72" s="39" t="s">
        <v>1120</v>
      </c>
      <c r="AM72" s="14" t="s">
        <v>148</v>
      </c>
      <c r="AN72" s="141">
        <f>IFERROR(SUM(CHOOSE(MATCH(N72,{"Baja";"Media";"Alta"},0),1,2,3),
CHOOSE(MATCH(Q72,{"Baja";"Media";"Alta"},0),1,2,3),
CHOOSE(MATCH(T72,{"Baja";"Media";"Alta"},0),1,2,3),
CHOOSE(MATCH(W72,{"Baja";"Media";"Alta"},0),1,2,3),
CHOOSE(MATCH(AB72,{"Baja";"Media";"Alta"},0),1,2,3),
CHOOSE(MATCH(AD72,{"Baja";"Media";"Alta"},0),1,2,3),
CHOOSE(MATCH(AI72,{"Baja";"Media";"Alta"},0),1,2,3),
CHOOSE(MATCH(AK72,{"Baja";"Media";"Alta"},0),1,2,3),
CHOOSE(MATCH(AM72,{"Baja";"Media";"Alta"},0),1,2,3)),0)</f>
        <v>11</v>
      </c>
      <c r="AO72" s="67" t="str">
        <f t="shared" si="12"/>
        <v>Bajo</v>
      </c>
      <c r="AP72" s="18"/>
      <c r="AQ72" s="11"/>
      <c r="AR72" s="34" t="e">
        <f>VLOOKUP(A72,#REF!,2,FALSE)</f>
        <v>#REF!</v>
      </c>
      <c r="AS72" s="88" t="s">
        <v>1121</v>
      </c>
      <c r="AT72" s="94" t="s">
        <v>1122</v>
      </c>
      <c r="AU72" s="88" t="s">
        <v>1123</v>
      </c>
      <c r="AV72" s="34">
        <v>1</v>
      </c>
      <c r="AW72" s="95" t="s">
        <v>1124</v>
      </c>
    </row>
    <row r="73" spans="1:50" ht="64">
      <c r="A73" s="11" t="s">
        <v>1125</v>
      </c>
      <c r="B73" s="11" t="str">
        <f t="shared" si="11"/>
        <v>tnd-msa-sp-wsclientes0103</v>
      </c>
      <c r="C73" s="57" t="s">
        <v>1126</v>
      </c>
      <c r="D73" s="11" t="s">
        <v>61</v>
      </c>
      <c r="E73" s="114" t="str">
        <f>VLOOKUP(D73,Tribus!$A$1:$B$33,2,FALSE)</f>
        <v>tnd</v>
      </c>
      <c r="F73" s="12" t="s">
        <v>237</v>
      </c>
      <c r="G73" s="12" t="s">
        <v>238</v>
      </c>
      <c r="H73" s="12" t="s">
        <v>239</v>
      </c>
      <c r="I73" s="151" t="s">
        <v>240</v>
      </c>
      <c r="J73" s="19" t="s">
        <v>1127</v>
      </c>
      <c r="K73" s="15" t="s">
        <v>902</v>
      </c>
      <c r="L73" s="19" t="s">
        <v>241</v>
      </c>
      <c r="M73" s="15">
        <v>1</v>
      </c>
      <c r="N73" s="14" t="s">
        <v>148</v>
      </c>
      <c r="O73" s="53" t="s">
        <v>505</v>
      </c>
      <c r="P73" s="15">
        <v>1</v>
      </c>
      <c r="Q73" s="14" t="s">
        <v>148</v>
      </c>
      <c r="R73" s="15" t="s">
        <v>242</v>
      </c>
      <c r="S73" s="15">
        <v>0</v>
      </c>
      <c r="T73" s="14" t="s">
        <v>148</v>
      </c>
      <c r="U73" s="38" t="s">
        <v>242</v>
      </c>
      <c r="V73" s="38"/>
      <c r="W73" s="14" t="s">
        <v>148</v>
      </c>
      <c r="X73" s="15" t="s">
        <v>1128</v>
      </c>
      <c r="Y73" s="15" t="s">
        <v>1129</v>
      </c>
      <c r="Z73" s="15"/>
      <c r="AA73" s="15"/>
      <c r="AB73" s="14" t="s">
        <v>148</v>
      </c>
      <c r="AC73" s="15" t="s">
        <v>677</v>
      </c>
      <c r="AD73" s="14" t="s">
        <v>149</v>
      </c>
      <c r="AE73" s="13"/>
      <c r="AF73" s="15" t="s">
        <v>475</v>
      </c>
      <c r="AG73" s="15" t="s">
        <v>769</v>
      </c>
      <c r="AH73" s="15">
        <v>1</v>
      </c>
      <c r="AI73" s="14" t="s">
        <v>148</v>
      </c>
      <c r="AJ73" s="15" t="s">
        <v>171</v>
      </c>
      <c r="AK73" s="14" t="s">
        <v>148</v>
      </c>
      <c r="AL73" s="39" t="s">
        <v>1130</v>
      </c>
      <c r="AM73" s="14" t="s">
        <v>148</v>
      </c>
      <c r="AN73" s="141">
        <f>IFERROR(SUM(CHOOSE(MATCH(N73,{"Baja";"Media";"Alta"},0),1,2,3),
CHOOSE(MATCH(Q73,{"Baja";"Media";"Alta"},0),1,2,3),
CHOOSE(MATCH(T73,{"Baja";"Media";"Alta"},0),1,2,3),
CHOOSE(MATCH(W73,{"Baja";"Media";"Alta"},0),1,2,3),
CHOOSE(MATCH(AB73,{"Baja";"Media";"Alta"},0),1,2,3),
CHOOSE(MATCH(AD73,{"Baja";"Media";"Alta"},0),1,2,3),
CHOOSE(MATCH(AI73,{"Baja";"Media";"Alta"},0),1,2,3),
CHOOSE(MATCH(AK73,{"Baja";"Media";"Alta"},0),1,2,3),
CHOOSE(MATCH(AM73,{"Baja";"Media";"Alta"},0),1,2,3)),0)</f>
        <v>10</v>
      </c>
      <c r="AO73" s="67" t="str">
        <f t="shared" si="12"/>
        <v>Bajo</v>
      </c>
      <c r="AP73" s="18"/>
      <c r="AQ73" s="11"/>
      <c r="AR73" s="34" t="e">
        <f>VLOOKUP(A73,#REF!,2,FALSE)</f>
        <v>#REF!</v>
      </c>
      <c r="AS73" s="87" t="s">
        <v>1131</v>
      </c>
      <c r="AT73" s="94" t="s">
        <v>1132</v>
      </c>
      <c r="AU73" s="87" t="s">
        <v>1133</v>
      </c>
      <c r="AV73" s="34">
        <v>1</v>
      </c>
      <c r="AW73" s="95" t="s">
        <v>1134</v>
      </c>
    </row>
    <row r="74" spans="1:50" ht="64">
      <c r="A74" s="11" t="s">
        <v>1135</v>
      </c>
      <c r="B74" s="11" t="str">
        <f t="shared" si="11"/>
        <v>tnd-msa-sp-wsclientes0104</v>
      </c>
      <c r="C74" s="57" t="s">
        <v>1136</v>
      </c>
      <c r="D74" s="11" t="s">
        <v>61</v>
      </c>
      <c r="E74" s="114" t="str">
        <f>VLOOKUP(D74,Tribus!$A$1:$B$33,2,FALSE)</f>
        <v>tnd</v>
      </c>
      <c r="F74" s="12" t="s">
        <v>237</v>
      </c>
      <c r="G74" s="12" t="s">
        <v>238</v>
      </c>
      <c r="H74" s="12" t="s">
        <v>239</v>
      </c>
      <c r="I74" s="151" t="s">
        <v>240</v>
      </c>
      <c r="J74" s="19" t="s">
        <v>1137</v>
      </c>
      <c r="K74" s="15" t="s">
        <v>902</v>
      </c>
      <c r="L74" s="15" t="s">
        <v>241</v>
      </c>
      <c r="M74" s="15">
        <v>2</v>
      </c>
      <c r="N74" s="14" t="s">
        <v>149</v>
      </c>
      <c r="O74" s="15" t="s">
        <v>101</v>
      </c>
      <c r="P74" s="15">
        <v>1</v>
      </c>
      <c r="Q74" s="14" t="s">
        <v>148</v>
      </c>
      <c r="R74" s="15" t="s">
        <v>242</v>
      </c>
      <c r="S74" s="15">
        <v>0</v>
      </c>
      <c r="T74" s="14" t="s">
        <v>148</v>
      </c>
      <c r="U74" s="84" t="s">
        <v>242</v>
      </c>
      <c r="V74" s="15"/>
      <c r="W74" s="14" t="s">
        <v>148</v>
      </c>
      <c r="X74" s="15" t="s">
        <v>1138</v>
      </c>
      <c r="Y74" s="15" t="s">
        <v>1139</v>
      </c>
      <c r="Z74" s="15"/>
      <c r="AA74" s="15"/>
      <c r="AB74" s="14" t="s">
        <v>148</v>
      </c>
      <c r="AC74" s="15" t="s">
        <v>905</v>
      </c>
      <c r="AD74" s="14" t="s">
        <v>149</v>
      </c>
      <c r="AE74" s="15" t="s">
        <v>59</v>
      </c>
      <c r="AF74" s="15" t="s">
        <v>502</v>
      </c>
      <c r="AG74" s="15">
        <v>0</v>
      </c>
      <c r="AH74" s="15">
        <v>1</v>
      </c>
      <c r="AI74" s="14" t="s">
        <v>148</v>
      </c>
      <c r="AJ74" s="15" t="s">
        <v>171</v>
      </c>
      <c r="AK74" s="14" t="s">
        <v>148</v>
      </c>
      <c r="AL74" s="10" t="s">
        <v>1140</v>
      </c>
      <c r="AM74" s="14" t="s">
        <v>148</v>
      </c>
      <c r="AN74" s="141">
        <f>IFERROR(SUM(CHOOSE(MATCH(N74,{"Baja";"Media";"Alta"},0),1,2,3),
CHOOSE(MATCH(Q74,{"Baja";"Media";"Alta"},0),1,2,3),
CHOOSE(MATCH(T74,{"Baja";"Media";"Alta"},0),1,2,3),
CHOOSE(MATCH(W74,{"Baja";"Media";"Alta"},0),1,2,3),
CHOOSE(MATCH(AB74,{"Baja";"Media";"Alta"},0),1,2,3),
CHOOSE(MATCH(AD74,{"Baja";"Media";"Alta"},0),1,2,3),
CHOOSE(MATCH(AI74,{"Baja";"Media";"Alta"},0),1,2,3),
CHOOSE(MATCH(AK74,{"Baja";"Media";"Alta"},0),1,2,3),
CHOOSE(MATCH(AM74,{"Baja";"Media";"Alta"},0),1,2,3)),0)</f>
        <v>11</v>
      </c>
      <c r="AO74" s="67" t="str">
        <f t="shared" si="12"/>
        <v>Bajo</v>
      </c>
      <c r="AP74" s="18"/>
      <c r="AQ74" s="11"/>
      <c r="AR74" s="34" t="e">
        <f>VLOOKUP(A74,#REF!,2,FALSE)</f>
        <v>#REF!</v>
      </c>
      <c r="AS74" s="98" t="s">
        <v>1141</v>
      </c>
      <c r="AT74" s="124" t="s">
        <v>1142</v>
      </c>
      <c r="AU74" s="124" t="s">
        <v>1143</v>
      </c>
      <c r="AV74" s="34">
        <v>1</v>
      </c>
      <c r="AW74" s="95" t="s">
        <v>1144</v>
      </c>
    </row>
    <row r="75" spans="1:50" ht="208">
      <c r="A75" s="66" t="s">
        <v>1145</v>
      </c>
      <c r="B75" s="11" t="str">
        <f t="shared" si="11"/>
        <v>tnd-msa-sp-wsclientes0108</v>
      </c>
      <c r="C75" s="57" t="s">
        <v>1146</v>
      </c>
      <c r="D75" s="11" t="s">
        <v>61</v>
      </c>
      <c r="E75" s="114" t="str">
        <f>VLOOKUP(D75,Tribus!$A$1:$B$33,2,FALSE)</f>
        <v>tnd</v>
      </c>
      <c r="F75" s="12" t="s">
        <v>237</v>
      </c>
      <c r="G75" s="12" t="s">
        <v>238</v>
      </c>
      <c r="H75" s="12" t="s">
        <v>239</v>
      </c>
      <c r="I75" s="151" t="s">
        <v>240</v>
      </c>
      <c r="J75" s="19" t="s">
        <v>1147</v>
      </c>
      <c r="K75" s="15" t="s">
        <v>902</v>
      </c>
      <c r="L75" s="15" t="s">
        <v>241</v>
      </c>
      <c r="M75" s="15">
        <v>1</v>
      </c>
      <c r="N75" s="14" t="s">
        <v>148</v>
      </c>
      <c r="O75" s="15" t="s">
        <v>101</v>
      </c>
      <c r="P75" s="15">
        <v>1</v>
      </c>
      <c r="Q75" s="14" t="s">
        <v>148</v>
      </c>
      <c r="R75" s="15" t="s">
        <v>456</v>
      </c>
      <c r="S75" s="15">
        <v>0</v>
      </c>
      <c r="T75" s="14" t="s">
        <v>148</v>
      </c>
      <c r="U75" s="84" t="s">
        <v>242</v>
      </c>
      <c r="V75" s="15"/>
      <c r="W75" s="14" t="s">
        <v>148</v>
      </c>
      <c r="X75" s="15" t="s">
        <v>1148</v>
      </c>
      <c r="Y75" s="15" t="s">
        <v>1149</v>
      </c>
      <c r="Z75" s="15"/>
      <c r="AA75" s="15"/>
      <c r="AB75" s="14" t="s">
        <v>148</v>
      </c>
      <c r="AC75" s="15" t="s">
        <v>502</v>
      </c>
      <c r="AD75" s="14" t="s">
        <v>149</v>
      </c>
      <c r="AE75" s="19" t="s">
        <v>1150</v>
      </c>
      <c r="AF75" s="15" t="s">
        <v>502</v>
      </c>
      <c r="AG75" s="15"/>
      <c r="AH75" s="15">
        <v>1</v>
      </c>
      <c r="AI75" s="14" t="s">
        <v>148</v>
      </c>
      <c r="AJ75" s="15" t="s">
        <v>456</v>
      </c>
      <c r="AK75" s="14" t="s">
        <v>148</v>
      </c>
      <c r="AL75" s="39" t="s">
        <v>1151</v>
      </c>
      <c r="AM75" s="14" t="s">
        <v>148</v>
      </c>
      <c r="AN75" s="141">
        <f>IFERROR(SUM(CHOOSE(MATCH(N75,{"Baja";"Media";"Alta"},0),1,2,3),
CHOOSE(MATCH(Q75,{"Baja";"Media";"Alta"},0),1,2,3),
CHOOSE(MATCH(T75,{"Baja";"Media";"Alta"},0),1,2,3),
CHOOSE(MATCH(W75,{"Baja";"Media";"Alta"},0),1,2,3),
CHOOSE(MATCH(AB75,{"Baja";"Media";"Alta"},0),1,2,3),
CHOOSE(MATCH(AD75,{"Baja";"Media";"Alta"},0),1,2,3),
CHOOSE(MATCH(AI75,{"Baja";"Media";"Alta"},0),1,2,3),
CHOOSE(MATCH(AK75,{"Baja";"Media";"Alta"},0),1,2,3),
CHOOSE(MATCH(AM75,{"Baja";"Media";"Alta"},0),1,2,3)),0)</f>
        <v>10</v>
      </c>
      <c r="AO75" s="67" t="str">
        <f t="shared" si="12"/>
        <v>Bajo</v>
      </c>
      <c r="AP75" s="18"/>
      <c r="AQ75" s="11"/>
      <c r="AR75" s="34" t="e">
        <f>VLOOKUP(A75,#REF!,2,FALSE)</f>
        <v>#REF!</v>
      </c>
      <c r="AS75" s="57" t="s">
        <v>1152</v>
      </c>
      <c r="AT75" s="94" t="s">
        <v>1153</v>
      </c>
      <c r="AU75" s="57" t="s">
        <v>1154</v>
      </c>
      <c r="AV75" s="34">
        <v>1</v>
      </c>
      <c r="AW75" s="95" t="s">
        <v>1155</v>
      </c>
    </row>
    <row r="76" spans="1:50" ht="208">
      <c r="A76" s="11" t="s">
        <v>1156</v>
      </c>
      <c r="B76" s="11" t="str">
        <f t="shared" si="11"/>
        <v>tnd-msa-sp-wsclientes0111</v>
      </c>
      <c r="C76" s="57" t="s">
        <v>1157</v>
      </c>
      <c r="D76" s="11" t="s">
        <v>61</v>
      </c>
      <c r="E76" s="114" t="str">
        <f>VLOOKUP(D76,Tribus!$A$1:$B$33,2,FALSE)</f>
        <v>tnd</v>
      </c>
      <c r="F76" s="12" t="s">
        <v>237</v>
      </c>
      <c r="G76" s="12" t="s">
        <v>238</v>
      </c>
      <c r="H76" s="12" t="s">
        <v>239</v>
      </c>
      <c r="I76" s="151" t="s">
        <v>240</v>
      </c>
      <c r="J76" s="57" t="s">
        <v>1158</v>
      </c>
      <c r="K76" s="15" t="s">
        <v>902</v>
      </c>
      <c r="L76" s="57" t="s">
        <v>241</v>
      </c>
      <c r="M76" s="11">
        <v>5</v>
      </c>
      <c r="N76" s="12" t="s">
        <v>150</v>
      </c>
      <c r="O76" s="57" t="s">
        <v>1159</v>
      </c>
      <c r="P76" s="11">
        <v>2</v>
      </c>
      <c r="Q76" s="12" t="s">
        <v>149</v>
      </c>
      <c r="R76" s="11" t="s">
        <v>242</v>
      </c>
      <c r="S76" s="11">
        <v>0</v>
      </c>
      <c r="T76" s="12" t="s">
        <v>148</v>
      </c>
      <c r="U76" s="38" t="s">
        <v>242</v>
      </c>
      <c r="V76" s="38"/>
      <c r="W76" s="12" t="s">
        <v>148</v>
      </c>
      <c r="X76" s="11" t="s">
        <v>1160</v>
      </c>
      <c r="Y76" s="11" t="s">
        <v>1161</v>
      </c>
      <c r="Z76" s="11"/>
      <c r="AA76" s="11"/>
      <c r="AB76" s="12" t="s">
        <v>149</v>
      </c>
      <c r="AC76" s="11" t="s">
        <v>677</v>
      </c>
      <c r="AD76" s="12" t="s">
        <v>149</v>
      </c>
      <c r="AE76" s="57" t="s">
        <v>1162</v>
      </c>
      <c r="AF76" s="57" t="s">
        <v>1163</v>
      </c>
      <c r="AG76" s="57" t="s">
        <v>1164</v>
      </c>
      <c r="AH76" s="11">
        <v>10</v>
      </c>
      <c r="AI76" s="12" t="s">
        <v>149</v>
      </c>
      <c r="AJ76" s="11" t="s">
        <v>171</v>
      </c>
      <c r="AK76" s="12" t="s">
        <v>148</v>
      </c>
      <c r="AL76" s="113" t="s">
        <v>1165</v>
      </c>
      <c r="AM76" s="12" t="s">
        <v>150</v>
      </c>
      <c r="AN76" s="141">
        <f>IFERROR(SUM(CHOOSE(MATCH(N76,{"Baja";"Media";"Alta"},0),1,2,3),
CHOOSE(MATCH(Q76,{"Baja";"Media";"Alta"},0),1,2,3),
CHOOSE(MATCH(T76,{"Baja";"Media";"Alta"},0),1,2,3),
CHOOSE(MATCH(W76,{"Baja";"Media";"Alta"},0),1,2,3),
CHOOSE(MATCH(AB76,{"Baja";"Media";"Alta"},0),1,2,3),
CHOOSE(MATCH(AD76,{"Baja";"Media";"Alta"},0),1,2,3),
CHOOSE(MATCH(AI76,{"Baja";"Media";"Alta"},0),1,2,3),
CHOOSE(MATCH(AK76,{"Baja";"Media";"Alta"},0),1,2,3),
CHOOSE(MATCH(AM76,{"Baja";"Media";"Alta"},0),1,2,3)),0)</f>
        <v>17</v>
      </c>
      <c r="AO76" s="67" t="str">
        <f t="shared" si="12"/>
        <v>Medio</v>
      </c>
      <c r="AP76" s="18"/>
      <c r="AQ76" s="113" t="s">
        <v>1166</v>
      </c>
      <c r="AR76" s="34" t="e">
        <f>VLOOKUP(A76,#REF!,2,FALSE)</f>
        <v>#REF!</v>
      </c>
      <c r="AS76" s="115" t="s">
        <v>1167</v>
      </c>
      <c r="AT76" s="94" t="s">
        <v>1168</v>
      </c>
      <c r="AU76" s="115" t="s">
        <v>1169</v>
      </c>
      <c r="AV76" s="34">
        <v>1</v>
      </c>
      <c r="AW76" s="95" t="s">
        <v>1170</v>
      </c>
    </row>
    <row r="77" spans="1:50" s="44" customFormat="1" ht="78">
      <c r="A77" s="16" t="s">
        <v>1171</v>
      </c>
      <c r="B77" s="16" t="str">
        <f t="shared" si="11"/>
        <v>tnd-msa-sp-wsclientes0114</v>
      </c>
      <c r="C77" s="51" t="s">
        <v>1172</v>
      </c>
      <c r="D77" s="16" t="s">
        <v>61</v>
      </c>
      <c r="E77" s="34" t="str">
        <f>VLOOKUP(D77,Tribus!$A$1:$B$33,2,FALSE)</f>
        <v>tnd</v>
      </c>
      <c r="F77" s="42" t="s">
        <v>237</v>
      </c>
      <c r="G77" s="42" t="s">
        <v>238</v>
      </c>
      <c r="H77" s="42" t="s">
        <v>239</v>
      </c>
      <c r="I77" s="36" t="s">
        <v>240</v>
      </c>
      <c r="J77" s="86" t="s">
        <v>1173</v>
      </c>
      <c r="K77" s="153" t="s">
        <v>888</v>
      </c>
      <c r="L77" s="20" t="s">
        <v>241</v>
      </c>
      <c r="M77" s="37">
        <v>6</v>
      </c>
      <c r="N77" s="47" t="s">
        <v>150</v>
      </c>
      <c r="O77" s="37" t="s">
        <v>101</v>
      </c>
      <c r="P77" s="37">
        <v>1</v>
      </c>
      <c r="Q77" s="47" t="s">
        <v>148</v>
      </c>
      <c r="R77" s="32" t="s">
        <v>242</v>
      </c>
      <c r="S77" s="37">
        <v>0</v>
      </c>
      <c r="T77" s="47" t="s">
        <v>148</v>
      </c>
      <c r="U77" s="38" t="s">
        <v>242</v>
      </c>
      <c r="V77" s="38"/>
      <c r="W77" s="47" t="s">
        <v>148</v>
      </c>
      <c r="X77" s="46" t="s">
        <v>1174</v>
      </c>
      <c r="Y77" s="46" t="s">
        <v>1175</v>
      </c>
      <c r="Z77" s="46"/>
      <c r="AA77" s="46"/>
      <c r="AB77" s="47" t="s">
        <v>150</v>
      </c>
      <c r="AC77" s="43" t="s">
        <v>677</v>
      </c>
      <c r="AD77" s="47" t="s">
        <v>149</v>
      </c>
      <c r="AE77" s="20" t="s">
        <v>59</v>
      </c>
      <c r="AF77" s="20" t="s">
        <v>1176</v>
      </c>
      <c r="AG77" s="43"/>
      <c r="AH77" s="37">
        <v>3</v>
      </c>
      <c r="AI77" s="47" t="s">
        <v>149</v>
      </c>
      <c r="AJ77" s="37" t="s">
        <v>171</v>
      </c>
      <c r="AK77" s="47" t="s">
        <v>148</v>
      </c>
      <c r="AL77" s="60" t="s">
        <v>1177</v>
      </c>
      <c r="AM77" s="47" t="s">
        <v>149</v>
      </c>
      <c r="AN77" s="150">
        <f>IFERROR(SUM(CHOOSE(MATCH(N77,{"Baja";"Media";"Alta"},0),1,2,3),
CHOOSE(MATCH(Q77,{"Baja";"Media";"Alta"},0),1,2,3),
CHOOSE(MATCH(T77,{"Baja";"Media";"Alta"},0),1,2,3),
CHOOSE(MATCH(W77,{"Baja";"Media";"Alta"},0),1,2,3),
CHOOSE(MATCH(AB77,{"Baja";"Media";"Alta"},0),1,2,3),
CHOOSE(MATCH(AD77,{"Baja";"Media";"Alta"},0),1,2,3),
CHOOSE(MATCH(AI77,{"Baja";"Media";"Alta"},0),1,2,3),
CHOOSE(MATCH(AK77,{"Baja";"Media";"Alta"},0),1,2,3),
CHOOSE(MATCH(AM77,{"Baja";"Media";"Alta"},0),1,2,3)),0)</f>
        <v>16</v>
      </c>
      <c r="AO77" s="67" t="str">
        <f t="shared" si="12"/>
        <v>Medio</v>
      </c>
      <c r="AP77" s="18"/>
      <c r="AQ77" s="16"/>
      <c r="AR77" s="34" t="e">
        <f>VLOOKUP(A77,#REF!,2,FALSE)</f>
        <v>#REF!</v>
      </c>
      <c r="AS77" s="104" t="s">
        <v>1178</v>
      </c>
      <c r="AT77" s="110" t="s">
        <v>1179</v>
      </c>
      <c r="AU77" s="134" t="s">
        <v>1180</v>
      </c>
      <c r="AV77" s="34">
        <v>1</v>
      </c>
      <c r="AW77" s="126" t="s">
        <v>1181</v>
      </c>
      <c r="AX77"/>
    </row>
    <row r="78" spans="1:50" s="31" customFormat="1" ht="48">
      <c r="A78" s="33" t="s">
        <v>1183</v>
      </c>
      <c r="B78" s="16" t="str">
        <f t="shared" ref="B78" si="13">CONCATENATE(LOWER(E78),"-msa-sp-",LOWER(A78))</f>
        <v>tnd-msa-sp-wsclientes0122</v>
      </c>
      <c r="C78" s="45" t="s">
        <v>1184</v>
      </c>
      <c r="D78" s="16" t="s">
        <v>61</v>
      </c>
      <c r="E78" s="34" t="str">
        <f>VLOOKUP(D78,Tribus!$A$1:$B$33,2,FALSE)</f>
        <v>tnd</v>
      </c>
      <c r="F78" s="35" t="s">
        <v>237</v>
      </c>
      <c r="G78" s="35" t="s">
        <v>238</v>
      </c>
      <c r="H78" s="35" t="s">
        <v>239</v>
      </c>
      <c r="I78" s="36" t="s">
        <v>240</v>
      </c>
      <c r="J78" s="86" t="s">
        <v>1185</v>
      </c>
      <c r="K78" s="86" t="s">
        <v>888</v>
      </c>
      <c r="L78" s="20" t="s">
        <v>241</v>
      </c>
      <c r="M78" s="37">
        <v>1</v>
      </c>
      <c r="N78" s="47" t="s">
        <v>148</v>
      </c>
      <c r="O78" s="37" t="s">
        <v>101</v>
      </c>
      <c r="P78" s="37">
        <v>1</v>
      </c>
      <c r="Q78" s="47" t="s">
        <v>148</v>
      </c>
      <c r="R78" s="32" t="s">
        <v>242</v>
      </c>
      <c r="S78" s="37">
        <v>0</v>
      </c>
      <c r="T78" s="47" t="s">
        <v>148</v>
      </c>
      <c r="U78" s="38" t="s">
        <v>242</v>
      </c>
      <c r="V78" s="38"/>
      <c r="W78" s="47" t="s">
        <v>148</v>
      </c>
      <c r="X78" s="46">
        <v>179</v>
      </c>
      <c r="Y78" s="46" t="s">
        <v>1186</v>
      </c>
      <c r="Z78" s="46"/>
      <c r="AA78" s="46"/>
      <c r="AB78" s="47" t="s">
        <v>148</v>
      </c>
      <c r="AC78" s="43" t="s">
        <v>678</v>
      </c>
      <c r="AD78" s="47" t="s">
        <v>149</v>
      </c>
      <c r="AE78" s="86"/>
      <c r="AF78" s="46" t="s">
        <v>611</v>
      </c>
      <c r="AG78" s="37"/>
      <c r="AH78" s="37">
        <v>1</v>
      </c>
      <c r="AI78" s="123" t="s">
        <v>148</v>
      </c>
      <c r="AJ78" s="37" t="s">
        <v>171</v>
      </c>
      <c r="AK78" s="47" t="s">
        <v>148</v>
      </c>
      <c r="AL78" s="60" t="s">
        <v>1187</v>
      </c>
      <c r="AM78" s="47" t="s">
        <v>149</v>
      </c>
      <c r="AN78" s="150">
        <f>IFERROR(SUM(CHOOSE(MATCH(N78,{"Baja";"Media";"Alta"},0),1,2,3),
CHOOSE(MATCH(Q78,{"Baja";"Media";"Alta"},0),1,2,3),
CHOOSE(MATCH(T78,{"Baja";"Media";"Alta"},0),1,2,3),
CHOOSE(MATCH(W78,{"Baja";"Media";"Alta"},0),1,2,3),
CHOOSE(MATCH(AB78,{"Baja";"Media";"Alta"},0),1,2,3),
CHOOSE(MATCH(AD78,{"Baja";"Media";"Alta"},0),1,2,3),
CHOOSE(MATCH(AI78,{"Baja";"Media";"Alta"},0),1,2,3),
CHOOSE(MATCH(AK78,{"Baja";"Media";"Alta"},0),1,2,3),
CHOOSE(MATCH(AM78,{"Baja";"Media";"Alta"},0),1,2,3)),0)</f>
        <v>11</v>
      </c>
      <c r="AO78" s="67" t="str">
        <f t="shared" ref="AO78" si="14">IF(AN78=0,"Pendiente",IF(AN78&lt;=15,"Bajo",IF(AN78&lt;=21,"Medio","Alto")))</f>
        <v>Bajo</v>
      </c>
      <c r="AP78" s="18"/>
      <c r="AQ78" s="34"/>
      <c r="AR78" s="34" t="e">
        <f>VLOOKUP(A78,#REF!,2,FALSE)</f>
        <v>#REF!</v>
      </c>
      <c r="AS78" s="104" t="s">
        <v>1188</v>
      </c>
      <c r="AT78" s="110" t="s">
        <v>1189</v>
      </c>
      <c r="AU78" s="134" t="s">
        <v>1190</v>
      </c>
      <c r="AV78" s="34">
        <v>1</v>
      </c>
      <c r="AW78" s="128" t="s">
        <v>1191</v>
      </c>
      <c r="AX78"/>
    </row>
    <row r="79" spans="1:50" ht="48">
      <c r="A79" s="33" t="s">
        <v>1192</v>
      </c>
      <c r="B79" s="16" t="str">
        <f t="shared" ref="B79:B80" si="15">CONCATENATE(LOWER(E79),"-msa-sp-",LOWER(A79))</f>
        <v>tnd-msa-sp-wsclientes0153</v>
      </c>
      <c r="C79" s="45" t="s">
        <v>1193</v>
      </c>
      <c r="D79" s="16" t="s">
        <v>61</v>
      </c>
      <c r="E79" s="34" t="str">
        <f>VLOOKUP(D79,Tribus!$A$1:$B$33,2,FALSE)</f>
        <v>tnd</v>
      </c>
      <c r="F79" s="35" t="s">
        <v>237</v>
      </c>
      <c r="G79" s="35" t="s">
        <v>238</v>
      </c>
      <c r="H79" s="35" t="s">
        <v>239</v>
      </c>
      <c r="I79" s="36" t="s">
        <v>240</v>
      </c>
      <c r="J79" s="86" t="s">
        <v>1194</v>
      </c>
      <c r="K79" s="86" t="s">
        <v>888</v>
      </c>
      <c r="L79" s="20" t="s">
        <v>241</v>
      </c>
      <c r="M79" s="37">
        <v>2</v>
      </c>
      <c r="N79" s="70" t="s">
        <v>149</v>
      </c>
      <c r="O79" s="37" t="s">
        <v>897</v>
      </c>
      <c r="P79" s="37">
        <v>1</v>
      </c>
      <c r="Q79" s="47" t="s">
        <v>148</v>
      </c>
      <c r="R79" s="32" t="s">
        <v>242</v>
      </c>
      <c r="S79" s="37">
        <v>0</v>
      </c>
      <c r="T79" s="70" t="s">
        <v>148</v>
      </c>
      <c r="U79" s="38" t="s">
        <v>242</v>
      </c>
      <c r="V79" s="38"/>
      <c r="W79" s="70" t="s">
        <v>148</v>
      </c>
      <c r="X79" s="46">
        <v>835</v>
      </c>
      <c r="Y79" s="46" t="s">
        <v>1195</v>
      </c>
      <c r="Z79" s="46"/>
      <c r="AA79" s="46"/>
      <c r="AB79" s="70" t="s">
        <v>148</v>
      </c>
      <c r="AC79" s="43" t="s">
        <v>678</v>
      </c>
      <c r="AD79" s="47" t="s">
        <v>149</v>
      </c>
      <c r="AE79" s="86"/>
      <c r="AF79" s="46" t="s">
        <v>601</v>
      </c>
      <c r="AG79" s="37"/>
      <c r="AH79" s="37">
        <v>1</v>
      </c>
      <c r="AI79" s="123" t="s">
        <v>148</v>
      </c>
      <c r="AJ79" s="37" t="s">
        <v>171</v>
      </c>
      <c r="AK79" s="47" t="s">
        <v>148</v>
      </c>
      <c r="AL79" s="60" t="s">
        <v>1196</v>
      </c>
      <c r="AM79" s="70" t="s">
        <v>149</v>
      </c>
      <c r="AN79" s="150">
        <f>IFERROR(SUM(CHOOSE(MATCH(N79,{"Baja";"Media";"Alta"},0),1,2,3),
CHOOSE(MATCH(Q79,{"Baja";"Media";"Alta"},0),1,2,3),
CHOOSE(MATCH(T79,{"Baja";"Media";"Alta"},0),1,2,3),
CHOOSE(MATCH(W79,{"Baja";"Media";"Alta"},0),1,2,3),
CHOOSE(MATCH(AB79,{"Baja";"Media";"Alta"},0),1,2,3),
CHOOSE(MATCH(AD79,{"Baja";"Media";"Alta"},0),1,2,3),
CHOOSE(MATCH(AI79,{"Baja";"Media";"Alta"},0),1,2,3),
CHOOSE(MATCH(AK79,{"Baja";"Media";"Alta"},0),1,2,3),
CHOOSE(MATCH(AM79,{"Baja";"Media";"Alta"},0),1,2,3)),0)</f>
        <v>12</v>
      </c>
      <c r="AO79" s="67" t="str">
        <f t="shared" ref="AO79:AO80" si="16">IF(AN79=0,"Pendiente",IF(AN79&lt;=15,"Bajo",IF(AN79&lt;=21,"Medio","Alto")))</f>
        <v>Bajo</v>
      </c>
      <c r="AP79" s="18"/>
      <c r="AQ79" s="34"/>
      <c r="AR79" s="34" t="e">
        <f>VLOOKUP(A79,#REF!,2,FALSE)</f>
        <v>#REF!</v>
      </c>
      <c r="AS79" s="104" t="s">
        <v>1197</v>
      </c>
      <c r="AT79" s="110" t="s">
        <v>1198</v>
      </c>
      <c r="AU79" s="134" t="s">
        <v>1199</v>
      </c>
      <c r="AV79" s="34">
        <v>1</v>
      </c>
      <c r="AW79" s="95" t="s">
        <v>1200</v>
      </c>
    </row>
    <row r="80" spans="1:50" ht="48">
      <c r="A80" s="11" t="s">
        <v>1201</v>
      </c>
      <c r="B80" s="11" t="str">
        <f t="shared" si="15"/>
        <v>tnd-msa-sp-wsclientes0156</v>
      </c>
      <c r="C80" s="57" t="s">
        <v>1202</v>
      </c>
      <c r="D80" s="11" t="s">
        <v>61</v>
      </c>
      <c r="E80" s="114" t="str">
        <f>VLOOKUP(D80,Tribus!$A$1:$B$33,2,FALSE)</f>
        <v>tnd</v>
      </c>
      <c r="F80" s="12" t="s">
        <v>237</v>
      </c>
      <c r="G80" s="12" t="s">
        <v>238</v>
      </c>
      <c r="H80" s="12" t="s">
        <v>239</v>
      </c>
      <c r="I80" s="151" t="s">
        <v>240</v>
      </c>
      <c r="J80" s="19" t="s">
        <v>1203</v>
      </c>
      <c r="K80" s="15" t="s">
        <v>902</v>
      </c>
      <c r="L80" s="15" t="s">
        <v>241</v>
      </c>
      <c r="M80" s="15">
        <v>1</v>
      </c>
      <c r="N80" s="14" t="s">
        <v>148</v>
      </c>
      <c r="O80" s="15" t="s">
        <v>101</v>
      </c>
      <c r="P80" s="15">
        <v>1</v>
      </c>
      <c r="Q80" s="14" t="s">
        <v>148</v>
      </c>
      <c r="R80" s="15" t="s">
        <v>242</v>
      </c>
      <c r="S80" s="15">
        <v>0</v>
      </c>
      <c r="T80" s="14" t="s">
        <v>148</v>
      </c>
      <c r="U80" s="84" t="s">
        <v>242</v>
      </c>
      <c r="V80" s="15"/>
      <c r="W80" s="14" t="s">
        <v>148</v>
      </c>
      <c r="X80" s="15" t="s">
        <v>1204</v>
      </c>
      <c r="Y80" s="15" t="s">
        <v>1205</v>
      </c>
      <c r="Z80" s="15"/>
      <c r="AA80" s="15"/>
      <c r="AB80" s="14" t="s">
        <v>148</v>
      </c>
      <c r="AC80" s="15" t="s">
        <v>905</v>
      </c>
      <c r="AD80" s="47" t="s">
        <v>149</v>
      </c>
      <c r="AE80" s="15" t="s">
        <v>61</v>
      </c>
      <c r="AF80" s="15" t="s">
        <v>601</v>
      </c>
      <c r="AG80" s="15">
        <v>0</v>
      </c>
      <c r="AH80" s="15">
        <v>1</v>
      </c>
      <c r="AI80" s="14" t="s">
        <v>148</v>
      </c>
      <c r="AJ80" s="15" t="s">
        <v>171</v>
      </c>
      <c r="AK80" s="14" t="s">
        <v>148</v>
      </c>
      <c r="AL80" s="39" t="s">
        <v>606</v>
      </c>
      <c r="AM80" s="14" t="s">
        <v>148</v>
      </c>
      <c r="AN80" s="141">
        <f>IFERROR(SUM(CHOOSE(MATCH(N80,{"Baja";"Media";"Alta"},0),1,2,3),
CHOOSE(MATCH(Q80,{"Baja";"Media";"Alta"},0),1,2,3),
CHOOSE(MATCH(T80,{"Baja";"Media";"Alta"},0),1,2,3),
CHOOSE(MATCH(W80,{"Baja";"Media";"Alta"},0),1,2,3),
CHOOSE(MATCH(AB80,{"Baja";"Media";"Alta"},0),1,2,3),
CHOOSE(MATCH(AD80,{"Baja";"Media";"Alta"},0),1,2,3),
CHOOSE(MATCH(AI80,{"Baja";"Media";"Alta"},0),1,2,3),
CHOOSE(MATCH(AK80,{"Baja";"Media";"Alta"},0),1,2,3),
CHOOSE(MATCH(AM80,{"Baja";"Media";"Alta"},0),1,2,3)),0)</f>
        <v>10</v>
      </c>
      <c r="AO80" s="67" t="str">
        <f t="shared" si="16"/>
        <v>Bajo</v>
      </c>
      <c r="AP80" s="18"/>
      <c r="AQ80" s="11"/>
      <c r="AR80" s="34" t="e">
        <f>VLOOKUP(A80,#REF!,2,FALSE)</f>
        <v>#REF!</v>
      </c>
      <c r="AS80" s="98" t="s">
        <v>1206</v>
      </c>
      <c r="AT80" s="94" t="s">
        <v>1207</v>
      </c>
      <c r="AU80" s="98" t="s">
        <v>1208</v>
      </c>
      <c r="AV80" s="34">
        <v>1</v>
      </c>
      <c r="AW80" s="95" t="s">
        <v>1209</v>
      </c>
    </row>
    <row r="81" spans="1:50" ht="80">
      <c r="A81" s="11" t="s">
        <v>1210</v>
      </c>
      <c r="B81" s="11" t="str">
        <f t="shared" ref="B81:B82" si="17">CONCATENATE(LOWER(E81),"-msa-sp-",LOWER(A81))</f>
        <v>tct-msa-sp-wsproductos0009</v>
      </c>
      <c r="C81" s="57" t="s">
        <v>1211</v>
      </c>
      <c r="D81" s="33" t="s">
        <v>77</v>
      </c>
      <c r="E81" s="114" t="str">
        <f>VLOOKUP(D81,Tribus!$A$1:$B$33,2,FALSE)</f>
        <v>tct</v>
      </c>
      <c r="F81" s="12" t="s">
        <v>237</v>
      </c>
      <c r="G81" s="12" t="s">
        <v>238</v>
      </c>
      <c r="H81" s="12" t="s">
        <v>239</v>
      </c>
      <c r="I81" s="151" t="s">
        <v>240</v>
      </c>
      <c r="J81" s="19" t="s">
        <v>1212</v>
      </c>
      <c r="K81" s="15" t="s">
        <v>902</v>
      </c>
      <c r="L81" s="15" t="s">
        <v>241</v>
      </c>
      <c r="M81" s="15">
        <v>1</v>
      </c>
      <c r="N81" s="14" t="s">
        <v>148</v>
      </c>
      <c r="O81" s="15" t="s">
        <v>1213</v>
      </c>
      <c r="P81" s="15">
        <v>2</v>
      </c>
      <c r="Q81" s="14" t="s">
        <v>149</v>
      </c>
      <c r="R81" s="15" t="s">
        <v>456</v>
      </c>
      <c r="S81" s="15">
        <v>0</v>
      </c>
      <c r="T81" s="14" t="s">
        <v>148</v>
      </c>
      <c r="U81" s="84" t="s">
        <v>242</v>
      </c>
      <c r="V81" s="15"/>
      <c r="W81" s="14" t="s">
        <v>148</v>
      </c>
      <c r="X81" s="15" t="s">
        <v>1214</v>
      </c>
      <c r="Y81" s="15" t="s">
        <v>1215</v>
      </c>
      <c r="Z81" s="15"/>
      <c r="AA81" s="15"/>
      <c r="AB81" s="14" t="s">
        <v>148</v>
      </c>
      <c r="AC81" s="19" t="s">
        <v>1216</v>
      </c>
      <c r="AD81" s="47" t="s">
        <v>149</v>
      </c>
      <c r="AE81" s="19" t="s">
        <v>1217</v>
      </c>
      <c r="AF81" s="19" t="s">
        <v>1216</v>
      </c>
      <c r="AG81" s="15" t="s">
        <v>1218</v>
      </c>
      <c r="AH81" s="15">
        <v>3</v>
      </c>
      <c r="AI81" s="14" t="s">
        <v>149</v>
      </c>
      <c r="AJ81" s="15" t="s">
        <v>456</v>
      </c>
      <c r="AK81" s="14" t="s">
        <v>148</v>
      </c>
      <c r="AL81" s="39" t="s">
        <v>1219</v>
      </c>
      <c r="AM81" s="14" t="s">
        <v>148</v>
      </c>
      <c r="AN81" s="141">
        <f>IFERROR(SUM(CHOOSE(MATCH(N81,{"Baja";"Media";"Alta"},0),1,2,3),
CHOOSE(MATCH(Q81,{"Baja";"Media";"Alta"},0),1,2,3),
CHOOSE(MATCH(T81,{"Baja";"Media";"Alta"},0),1,2,3),
CHOOSE(MATCH(W81,{"Baja";"Media";"Alta"},0),1,2,3),
CHOOSE(MATCH(AB81,{"Baja";"Media";"Alta"},0),1,2,3),
CHOOSE(MATCH(AD81,{"Baja";"Media";"Alta"},0),1,2,3),
CHOOSE(MATCH(AI81,{"Baja";"Media";"Alta"},0),1,2,3),
CHOOSE(MATCH(AK81,{"Baja";"Media";"Alta"},0),1,2,3),
CHOOSE(MATCH(AM81,{"Baja";"Media";"Alta"},0),1,2,3)),0)</f>
        <v>12</v>
      </c>
      <c r="AO81" s="67" t="str">
        <f t="shared" ref="AO81" si="18">IF(AN81=0,"Pendiente",IF(AN81&lt;=15,"Bajo",IF(AN81&lt;=21,"Medio","Alto")))</f>
        <v>Bajo</v>
      </c>
      <c r="AP81" s="18" t="s">
        <v>243</v>
      </c>
      <c r="AQ81" s="11"/>
      <c r="AR81" s="34" t="e">
        <f>VLOOKUP(A81,#REF!,2,FALSE)</f>
        <v>#REF!</v>
      </c>
      <c r="AS81" s="57" t="s">
        <v>1220</v>
      </c>
      <c r="AT81" s="94" t="s">
        <v>1221</v>
      </c>
      <c r="AU81" s="57" t="s">
        <v>1222</v>
      </c>
      <c r="AV81" s="34">
        <v>1</v>
      </c>
      <c r="AW81" s="95" t="s">
        <v>1223</v>
      </c>
    </row>
    <row r="82" spans="1:50" ht="48">
      <c r="A82" s="33" t="s">
        <v>1224</v>
      </c>
      <c r="B82" s="16" t="str">
        <f t="shared" si="17"/>
        <v>tpr-msa-sp-wsproductos0016</v>
      </c>
      <c r="C82" s="45" t="s">
        <v>1225</v>
      </c>
      <c r="D82" s="33" t="s">
        <v>59</v>
      </c>
      <c r="E82" s="34" t="str">
        <f>VLOOKUP(D82,Tribus!$A$1:$B$33,2,FALSE)</f>
        <v>tpr</v>
      </c>
      <c r="F82" s="35" t="s">
        <v>237</v>
      </c>
      <c r="G82" s="35" t="s">
        <v>238</v>
      </c>
      <c r="H82" s="35" t="s">
        <v>239</v>
      </c>
      <c r="I82" s="36" t="s">
        <v>240</v>
      </c>
      <c r="J82" s="86" t="s">
        <v>1226</v>
      </c>
      <c r="K82" s="86" t="s">
        <v>888</v>
      </c>
      <c r="L82" s="20" t="s">
        <v>241</v>
      </c>
      <c r="M82" s="37">
        <v>2</v>
      </c>
      <c r="N82" s="47" t="s">
        <v>149</v>
      </c>
      <c r="O82" s="37" t="s">
        <v>897</v>
      </c>
      <c r="P82" s="37">
        <v>1</v>
      </c>
      <c r="Q82" s="47" t="s">
        <v>148</v>
      </c>
      <c r="R82" s="32" t="s">
        <v>242</v>
      </c>
      <c r="S82" s="37">
        <v>0</v>
      </c>
      <c r="T82" s="47" t="s">
        <v>148</v>
      </c>
      <c r="U82" s="38" t="s">
        <v>242</v>
      </c>
      <c r="V82" s="38"/>
      <c r="W82" s="47" t="s">
        <v>148</v>
      </c>
      <c r="X82" s="46">
        <v>786</v>
      </c>
      <c r="Y82" s="46" t="s">
        <v>1227</v>
      </c>
      <c r="Z82" s="46"/>
      <c r="AA82" s="46"/>
      <c r="AB82" s="47" t="s">
        <v>148</v>
      </c>
      <c r="AC82" s="43" t="s">
        <v>677</v>
      </c>
      <c r="AD82" s="47" t="s">
        <v>149</v>
      </c>
      <c r="AE82" s="86"/>
      <c r="AF82" s="22" t="s">
        <v>1228</v>
      </c>
      <c r="AG82" s="43"/>
      <c r="AH82" s="37">
        <v>3</v>
      </c>
      <c r="AI82" s="123" t="s">
        <v>149</v>
      </c>
      <c r="AJ82" s="37" t="s">
        <v>171</v>
      </c>
      <c r="AK82" s="47" t="s">
        <v>148</v>
      </c>
      <c r="AL82" s="60" t="s">
        <v>1229</v>
      </c>
      <c r="AM82" s="47" t="s">
        <v>149</v>
      </c>
      <c r="AN82" s="150">
        <f>IFERROR(SUM(CHOOSE(MATCH(N82,{"Baja";"Media";"Alta"},0),1,2,3),
CHOOSE(MATCH(Q82,{"Baja";"Media";"Alta"},0),1,2,3),
CHOOSE(MATCH(T82,{"Baja";"Media";"Alta"},0),1,2,3),
CHOOSE(MATCH(W82,{"Baja";"Media";"Alta"},0),1,2,3),
CHOOSE(MATCH(AB82,{"Baja";"Media";"Alta"},0),1,2,3),
CHOOSE(MATCH(AD82,{"Baja";"Media";"Alta"},0),1,2,3),
CHOOSE(MATCH(AI82,{"Baja";"Media";"Alta"},0),1,2,3),
CHOOSE(MATCH(AK82,{"Baja";"Media";"Alta"},0),1,2,3),
CHOOSE(MATCH(AM82,{"Baja";"Media";"Alta"},0),1,2,3)),0)</f>
        <v>13</v>
      </c>
      <c r="AO82" s="67" t="str">
        <f t="shared" ref="AO82" si="19">IF(AN82=0,"Pendiente",IF(AN82&lt;=15,"Bajo",IF(AN82&lt;=21,"Medio","Alto")))</f>
        <v>Bajo</v>
      </c>
      <c r="AP82" s="18" t="s">
        <v>243</v>
      </c>
      <c r="AQ82" s="11"/>
      <c r="AR82" s="34" t="e">
        <f>VLOOKUP(A82,#REF!,2,FALSE)</f>
        <v>#REF!</v>
      </c>
      <c r="AS82" s="104" t="s">
        <v>1230</v>
      </c>
      <c r="AT82" s="110" t="s">
        <v>1231</v>
      </c>
      <c r="AU82" s="134" t="s">
        <v>1232</v>
      </c>
      <c r="AV82" s="34">
        <v>1</v>
      </c>
    </row>
    <row r="83" spans="1:50" ht="48">
      <c r="A83" s="11" t="s">
        <v>1234</v>
      </c>
      <c r="B83" s="11" t="str">
        <f t="shared" ref="B83" si="20">CONCATENATE(LOWER(E83),"-msa-sp-",LOWER(A83))</f>
        <v>tpr-msa-sp-wsproductos0130</v>
      </c>
      <c r="C83" s="57" t="s">
        <v>1235</v>
      </c>
      <c r="D83" s="33" t="s">
        <v>59</v>
      </c>
      <c r="E83" s="114" t="str">
        <f>VLOOKUP(D83,Tribus!$A$1:$B$33,2,FALSE)</f>
        <v>tpr</v>
      </c>
      <c r="F83" s="12" t="s">
        <v>237</v>
      </c>
      <c r="G83" s="12" t="s">
        <v>238</v>
      </c>
      <c r="H83" s="12" t="s">
        <v>239</v>
      </c>
      <c r="I83" s="151" t="s">
        <v>240</v>
      </c>
      <c r="J83" s="19" t="s">
        <v>1236</v>
      </c>
      <c r="K83" s="15" t="s">
        <v>902</v>
      </c>
      <c r="L83" s="15" t="s">
        <v>241</v>
      </c>
      <c r="M83" s="15">
        <v>1</v>
      </c>
      <c r="N83" s="14" t="s">
        <v>148</v>
      </c>
      <c r="O83" s="15" t="s">
        <v>101</v>
      </c>
      <c r="P83" s="15">
        <v>1</v>
      </c>
      <c r="Q83" s="14" t="s">
        <v>148</v>
      </c>
      <c r="R83" s="15" t="s">
        <v>456</v>
      </c>
      <c r="S83" s="15">
        <v>0</v>
      </c>
      <c r="T83" s="14" t="s">
        <v>148</v>
      </c>
      <c r="U83" s="84" t="s">
        <v>242</v>
      </c>
      <c r="V83" s="15"/>
      <c r="W83" s="14" t="s">
        <v>148</v>
      </c>
      <c r="X83" s="15" t="s">
        <v>1237</v>
      </c>
      <c r="Y83" s="15" t="s">
        <v>1238</v>
      </c>
      <c r="Z83" s="15"/>
      <c r="AA83" s="15"/>
      <c r="AB83" s="14" t="s">
        <v>148</v>
      </c>
      <c r="AC83" s="15" t="s">
        <v>419</v>
      </c>
      <c r="AD83" s="47" t="s">
        <v>149</v>
      </c>
      <c r="AE83" s="19" t="s">
        <v>1239</v>
      </c>
      <c r="AF83" s="15" t="s">
        <v>419</v>
      </c>
      <c r="AG83" s="15"/>
      <c r="AH83" s="15">
        <v>1</v>
      </c>
      <c r="AI83" s="14" t="s">
        <v>148</v>
      </c>
      <c r="AJ83" s="15" t="s">
        <v>456</v>
      </c>
      <c r="AK83" s="14" t="s">
        <v>148</v>
      </c>
      <c r="AL83" s="39" t="s">
        <v>1240</v>
      </c>
      <c r="AM83" s="14" t="s">
        <v>148</v>
      </c>
      <c r="AN83" s="141">
        <f>IFERROR(SUM(CHOOSE(MATCH(N83,{"Baja";"Media";"Alta"},0),1,2,3),
CHOOSE(MATCH(Q83,{"Baja";"Media";"Alta"},0),1,2,3),
CHOOSE(MATCH(T83,{"Baja";"Media";"Alta"},0),1,2,3),
CHOOSE(MATCH(W83,{"Baja";"Media";"Alta"},0),1,2,3),
CHOOSE(MATCH(AB83,{"Baja";"Media";"Alta"},0),1,2,3),
CHOOSE(MATCH(AD83,{"Baja";"Media";"Alta"},0),1,2,3),
CHOOSE(MATCH(AI83,{"Baja";"Media";"Alta"},0),1,2,3),
CHOOSE(MATCH(AK83,{"Baja";"Media";"Alta"},0),1,2,3),
CHOOSE(MATCH(AM83,{"Baja";"Media";"Alta"},0),1,2,3)),0)</f>
        <v>10</v>
      </c>
      <c r="AO83" s="67" t="str">
        <f t="shared" ref="AO83" si="21">IF(AN83=0,"Pendiente",IF(AN83&lt;=15,"Bajo",IF(AN83&lt;=21,"Medio","Alto")))</f>
        <v>Bajo</v>
      </c>
      <c r="AP83" s="18"/>
      <c r="AQ83" s="11"/>
      <c r="AR83" s="120" t="e">
        <f>VLOOKUP(A83,#REF!,2,FALSE)</f>
        <v>#REF!</v>
      </c>
      <c r="AS83" s="57" t="s">
        <v>1241</v>
      </c>
      <c r="AT83" s="94" t="s">
        <v>1242</v>
      </c>
      <c r="AU83" s="57" t="s">
        <v>1243</v>
      </c>
      <c r="AV83" s="34">
        <v>1</v>
      </c>
      <c r="AW83" s="95" t="s">
        <v>1244</v>
      </c>
    </row>
    <row r="84" spans="1:50" ht="48">
      <c r="A84" s="16" t="s">
        <v>1245</v>
      </c>
      <c r="B84" s="16" t="str">
        <f t="shared" ref="B84" si="22">CONCATENATE(LOWER(E84),"-msa-sp-",LOWER(A84))</f>
        <v>tnd-msa-sp-wsproductos0189</v>
      </c>
      <c r="C84" s="51" t="s">
        <v>1246</v>
      </c>
      <c r="D84" s="16" t="s">
        <v>61</v>
      </c>
      <c r="E84" s="34" t="str">
        <f>VLOOKUP(D84,Tribus!$A$1:$B$33,2,FALSE)</f>
        <v>tnd</v>
      </c>
      <c r="F84" s="42" t="s">
        <v>237</v>
      </c>
      <c r="G84" s="42" t="s">
        <v>238</v>
      </c>
      <c r="H84" s="42" t="s">
        <v>239</v>
      </c>
      <c r="I84" s="36" t="s">
        <v>240</v>
      </c>
      <c r="J84" s="86" t="s">
        <v>1247</v>
      </c>
      <c r="K84" s="86" t="s">
        <v>888</v>
      </c>
      <c r="L84" s="20" t="s">
        <v>241</v>
      </c>
      <c r="M84" s="37">
        <v>2</v>
      </c>
      <c r="N84" s="47" t="s">
        <v>149</v>
      </c>
      <c r="O84" s="37" t="s">
        <v>101</v>
      </c>
      <c r="P84" s="37">
        <v>1</v>
      </c>
      <c r="Q84" s="47" t="s">
        <v>148</v>
      </c>
      <c r="R84" s="32" t="s">
        <v>242</v>
      </c>
      <c r="S84" s="37">
        <v>0</v>
      </c>
      <c r="T84" s="47" t="s">
        <v>148</v>
      </c>
      <c r="U84" s="38" t="s">
        <v>242</v>
      </c>
      <c r="V84" s="38"/>
      <c r="W84" s="47" t="s">
        <v>148</v>
      </c>
      <c r="X84" s="46" t="s">
        <v>1248</v>
      </c>
      <c r="Y84" s="46" t="s">
        <v>1182</v>
      </c>
      <c r="Z84" s="46"/>
      <c r="AA84" s="46"/>
      <c r="AB84" s="47" t="s">
        <v>148</v>
      </c>
      <c r="AC84" s="43" t="s">
        <v>678</v>
      </c>
      <c r="AD84" s="47" t="s">
        <v>149</v>
      </c>
      <c r="AE84" s="86"/>
      <c r="AF84" s="46" t="s">
        <v>579</v>
      </c>
      <c r="AG84" s="43"/>
      <c r="AH84" s="37">
        <v>1</v>
      </c>
      <c r="AI84" s="123" t="s">
        <v>148</v>
      </c>
      <c r="AJ84" s="37" t="s">
        <v>171</v>
      </c>
      <c r="AK84" s="47" t="s">
        <v>148</v>
      </c>
      <c r="AL84" s="60" t="s">
        <v>1249</v>
      </c>
      <c r="AM84" s="47" t="s">
        <v>149</v>
      </c>
      <c r="AN84" s="150">
        <f>IFERROR(SUM(CHOOSE(MATCH(N84,{"Baja";"Media";"Alta"},0),1,2,3),
CHOOSE(MATCH(Q84,{"Baja";"Media";"Alta"},0),1,2,3),
CHOOSE(MATCH(T84,{"Baja";"Media";"Alta"},0),1,2,3),
CHOOSE(MATCH(W84,{"Baja";"Media";"Alta"},0),1,2,3),
CHOOSE(MATCH(AB84,{"Baja";"Media";"Alta"},0),1,2,3),
CHOOSE(MATCH(AD84,{"Baja";"Media";"Alta"},0),1,2,3),
CHOOSE(MATCH(AI84,{"Baja";"Media";"Alta"},0),1,2,3),
CHOOSE(MATCH(AK84,{"Baja";"Media";"Alta"},0),1,2,3),
CHOOSE(MATCH(AM84,{"Baja";"Media";"Alta"},0),1,2,3)),0)</f>
        <v>12</v>
      </c>
      <c r="AO84" s="67" t="str">
        <f t="shared" ref="AO84" si="23">IF(AN84=0,"Pendiente",IF(AN84&lt;=15,"Bajo",IF(AN84&lt;=21,"Medio","Alto")))</f>
        <v>Bajo</v>
      </c>
      <c r="AP84" s="18"/>
      <c r="AQ84" s="11"/>
      <c r="AR84" s="120" t="e">
        <f>VLOOKUP(A84,#REF!,2,FALSE)</f>
        <v>#REF!</v>
      </c>
      <c r="AS84" s="104" t="s">
        <v>1250</v>
      </c>
      <c r="AT84" s="110" t="s">
        <v>1251</v>
      </c>
      <c r="AU84" s="134" t="s">
        <v>1252</v>
      </c>
      <c r="AV84" s="34">
        <v>1</v>
      </c>
      <c r="AW84" s="95" t="s">
        <v>1253</v>
      </c>
    </row>
    <row r="85" spans="1:50" ht="64">
      <c r="A85" s="11" t="s">
        <v>1255</v>
      </c>
      <c r="B85" s="11" t="str">
        <f t="shared" ref="B85:B89" si="24">CONCATENATE(LOWER(E85),"-msa-sp-",LOWER(A85))</f>
        <v>csg-msa-sp-wsreglas0004</v>
      </c>
      <c r="C85" s="57" t="s">
        <v>1256</v>
      </c>
      <c r="D85" s="11" t="s">
        <v>65</v>
      </c>
      <c r="E85" s="114" t="str">
        <f>VLOOKUP(D85,Tribus!$A$1:$B$33,2,FALSE)</f>
        <v>csg</v>
      </c>
      <c r="F85" s="12" t="s">
        <v>237</v>
      </c>
      <c r="G85" s="12" t="s">
        <v>238</v>
      </c>
      <c r="H85" s="12" t="s">
        <v>239</v>
      </c>
      <c r="I85" s="151" t="s">
        <v>240</v>
      </c>
      <c r="J85" s="19" t="s">
        <v>1257</v>
      </c>
      <c r="K85" s="15" t="s">
        <v>1258</v>
      </c>
      <c r="L85" s="15" t="s">
        <v>241</v>
      </c>
      <c r="M85" s="15">
        <v>1</v>
      </c>
      <c r="N85" s="14" t="s">
        <v>148</v>
      </c>
      <c r="O85" s="15" t="s">
        <v>101</v>
      </c>
      <c r="P85" s="15">
        <v>1</v>
      </c>
      <c r="Q85" s="14" t="s">
        <v>148</v>
      </c>
      <c r="R85" s="15" t="s">
        <v>242</v>
      </c>
      <c r="S85" s="15">
        <v>0</v>
      </c>
      <c r="T85" s="14" t="s">
        <v>148</v>
      </c>
      <c r="U85" s="84" t="s">
        <v>242</v>
      </c>
      <c r="V85" s="15" t="s">
        <v>242</v>
      </c>
      <c r="W85" s="14" t="s">
        <v>148</v>
      </c>
      <c r="X85" s="15" t="s">
        <v>1259</v>
      </c>
      <c r="Y85" s="15" t="s">
        <v>1260</v>
      </c>
      <c r="Z85" s="15"/>
      <c r="AA85" s="15"/>
      <c r="AB85" s="14" t="s">
        <v>148</v>
      </c>
      <c r="AC85" s="15" t="s">
        <v>905</v>
      </c>
      <c r="AD85" s="47" t="s">
        <v>149</v>
      </c>
      <c r="AE85" s="19"/>
      <c r="AF85" s="15" t="s">
        <v>550</v>
      </c>
      <c r="AG85" s="15">
        <v>1</v>
      </c>
      <c r="AH85" s="15">
        <v>1</v>
      </c>
      <c r="AI85" s="14" t="s">
        <v>148</v>
      </c>
      <c r="AJ85" s="15" t="s">
        <v>171</v>
      </c>
      <c r="AK85" s="14" t="s">
        <v>148</v>
      </c>
      <c r="AL85" s="39" t="s">
        <v>1261</v>
      </c>
      <c r="AM85" s="14" t="s">
        <v>148</v>
      </c>
      <c r="AN85" s="141">
        <f>IFERROR(SUM(CHOOSE(MATCH(N85,{"Baja";"Media";"Alta"},0),1,2,3),
CHOOSE(MATCH(Q85,{"Baja";"Media";"Alta"},0),1,2,3),
CHOOSE(MATCH(T85,{"Baja";"Media";"Alta"},0),1,2,3),
CHOOSE(MATCH(W85,{"Baja";"Media";"Alta"},0),1,2,3),
CHOOSE(MATCH(AB85,{"Baja";"Media";"Alta"},0),1,2,3),
CHOOSE(MATCH(AD85,{"Baja";"Media";"Alta"},0),1,2,3),
CHOOSE(MATCH(AI85,{"Baja";"Media";"Alta"},0),1,2,3),
CHOOSE(MATCH(AK85,{"Baja";"Media";"Alta"},0),1,2,3),
CHOOSE(MATCH(AM85,{"Baja";"Media";"Alta"},0),1,2,3)),0)</f>
        <v>10</v>
      </c>
      <c r="AO85" s="67" t="str">
        <f t="shared" ref="AO85:AO86" si="25">IF(AN85=0,"Pendiente",IF(AN85&lt;=15,"Bajo",IF(AN85&lt;=21,"Medio","Alto")))</f>
        <v>Bajo</v>
      </c>
      <c r="AP85" s="18"/>
      <c r="AQ85" s="57" t="s">
        <v>1262</v>
      </c>
      <c r="AR85" s="120" t="e">
        <f>VLOOKUP(A85,#REF!,2,FALSE)</f>
        <v>#REF!</v>
      </c>
      <c r="AS85" s="87" t="s">
        <v>1263</v>
      </c>
      <c r="AT85" s="87" t="s">
        <v>1264</v>
      </c>
      <c r="AU85" s="87" t="s">
        <v>1265</v>
      </c>
      <c r="AV85" s="34">
        <v>1</v>
      </c>
      <c r="AW85" s="95" t="s">
        <v>1266</v>
      </c>
    </row>
    <row r="86" spans="1:50" ht="160">
      <c r="A86" s="11" t="s">
        <v>1267</v>
      </c>
      <c r="B86" s="11" t="str">
        <f t="shared" si="24"/>
        <v>csg-msa-sp-wsreglas0010</v>
      </c>
      <c r="C86" s="57" t="s">
        <v>1268</v>
      </c>
      <c r="D86" s="11" t="s">
        <v>65</v>
      </c>
      <c r="E86" s="114" t="str">
        <f>VLOOKUP(D86,Tribus!$A$1:$B$33,2,FALSE)</f>
        <v>csg</v>
      </c>
      <c r="F86" s="12" t="s">
        <v>237</v>
      </c>
      <c r="G86" s="12" t="s">
        <v>238</v>
      </c>
      <c r="H86" s="12" t="s">
        <v>239</v>
      </c>
      <c r="I86" s="151" t="s">
        <v>240</v>
      </c>
      <c r="J86" s="19" t="s">
        <v>1269</v>
      </c>
      <c r="K86" s="19" t="s">
        <v>1270</v>
      </c>
      <c r="L86" s="19" t="s">
        <v>241</v>
      </c>
      <c r="M86" s="15">
        <v>1</v>
      </c>
      <c r="N86" s="14" t="s">
        <v>148</v>
      </c>
      <c r="O86" s="15" t="s">
        <v>897</v>
      </c>
      <c r="P86" s="15">
        <v>1</v>
      </c>
      <c r="Q86" s="14" t="s">
        <v>148</v>
      </c>
      <c r="R86" s="15" t="s">
        <v>242</v>
      </c>
      <c r="S86" s="15">
        <v>0</v>
      </c>
      <c r="T86" s="14" t="s">
        <v>148</v>
      </c>
      <c r="U86" s="147" t="s">
        <v>1271</v>
      </c>
      <c r="V86" s="19" t="s">
        <v>1272</v>
      </c>
      <c r="W86" s="14" t="s">
        <v>149</v>
      </c>
      <c r="X86" s="15" t="s">
        <v>1273</v>
      </c>
      <c r="Y86" s="15" t="s">
        <v>1274</v>
      </c>
      <c r="Z86" s="15"/>
      <c r="AA86" s="15"/>
      <c r="AB86" s="14" t="s">
        <v>150</v>
      </c>
      <c r="AC86" s="15" t="s">
        <v>677</v>
      </c>
      <c r="AD86" s="47" t="s">
        <v>149</v>
      </c>
      <c r="AE86" s="19"/>
      <c r="AF86" s="19" t="s">
        <v>1275</v>
      </c>
      <c r="AG86" s="15" t="s">
        <v>171</v>
      </c>
      <c r="AH86" s="15">
        <v>10</v>
      </c>
      <c r="AI86" s="14" t="s">
        <v>150</v>
      </c>
      <c r="AJ86" s="19" t="s">
        <v>1276</v>
      </c>
      <c r="AK86" s="14" t="s">
        <v>149</v>
      </c>
      <c r="AL86" s="39" t="s">
        <v>1277</v>
      </c>
      <c r="AM86" s="14" t="s">
        <v>148</v>
      </c>
      <c r="AN86" s="141">
        <f>IFERROR(SUM(CHOOSE(MATCH(N86,{"Baja";"Media";"Alta"},0),1,2,3),
CHOOSE(MATCH(Q86,{"Baja";"Media";"Alta"},0),1,2,3),
CHOOSE(MATCH(T86,{"Baja";"Media";"Alta"},0),1,2,3),
CHOOSE(MATCH(W86,{"Baja";"Media";"Alta"},0),1,2,3),
CHOOSE(MATCH(AB86,{"Baja";"Media";"Alta"},0),1,2,3),
CHOOSE(MATCH(AD86,{"Baja";"Media";"Alta"},0),1,2,3),
CHOOSE(MATCH(AI86,{"Baja";"Media";"Alta"},0),1,2,3),
CHOOSE(MATCH(AK86,{"Baja";"Media";"Alta"},0),1,2,3),
CHOOSE(MATCH(AM86,{"Baja";"Media";"Alta"},0),1,2,3)),0)</f>
        <v>16</v>
      </c>
      <c r="AO86" s="67" t="str">
        <f t="shared" si="25"/>
        <v>Medio</v>
      </c>
      <c r="AP86" s="18"/>
      <c r="AQ86" s="11"/>
      <c r="AR86" s="120" t="e">
        <f>VLOOKUP(A86,#REF!,2,FALSE)</f>
        <v>#REF!</v>
      </c>
      <c r="AS86" s="87" t="s">
        <v>1278</v>
      </c>
      <c r="AT86" s="87" t="s">
        <v>1279</v>
      </c>
      <c r="AU86" s="87" t="s">
        <v>1280</v>
      </c>
      <c r="AV86" s="34">
        <v>1</v>
      </c>
      <c r="AW86" s="95" t="s">
        <v>1281</v>
      </c>
    </row>
    <row r="87" spans="1:50" ht="48">
      <c r="A87" s="11" t="s">
        <v>1282</v>
      </c>
      <c r="B87" s="11" t="str">
        <f t="shared" si="24"/>
        <v>csg-msa-sp-wsseguridad0067</v>
      </c>
      <c r="C87" s="57" t="s">
        <v>1283</v>
      </c>
      <c r="D87" s="11" t="s">
        <v>65</v>
      </c>
      <c r="E87" s="114" t="str">
        <f>VLOOKUP(D87,Tribus!$A$1:$B$33,2,FALSE)</f>
        <v>csg</v>
      </c>
      <c r="F87" s="12" t="s">
        <v>237</v>
      </c>
      <c r="G87" s="12" t="s">
        <v>238</v>
      </c>
      <c r="H87" s="12" t="s">
        <v>239</v>
      </c>
      <c r="I87" s="151" t="s">
        <v>240</v>
      </c>
      <c r="J87" s="15" t="s">
        <v>1284</v>
      </c>
      <c r="K87" s="15" t="s">
        <v>1285</v>
      </c>
      <c r="L87" s="15" t="s">
        <v>241</v>
      </c>
      <c r="M87" s="15">
        <v>1</v>
      </c>
      <c r="N87" s="14" t="s">
        <v>148</v>
      </c>
      <c r="O87" s="15" t="s">
        <v>505</v>
      </c>
      <c r="P87" s="15">
        <v>1</v>
      </c>
      <c r="Q87" s="14" t="s">
        <v>148</v>
      </c>
      <c r="R87" s="15" t="s">
        <v>242</v>
      </c>
      <c r="S87" s="15">
        <v>0</v>
      </c>
      <c r="T87" s="14" t="s">
        <v>148</v>
      </c>
      <c r="U87" s="84" t="s">
        <v>242</v>
      </c>
      <c r="V87" s="15"/>
      <c r="W87" s="14" t="s">
        <v>148</v>
      </c>
      <c r="X87" s="15" t="s">
        <v>1286</v>
      </c>
      <c r="Y87" s="15" t="s">
        <v>1287</v>
      </c>
      <c r="Z87" s="15"/>
      <c r="AA87" s="15"/>
      <c r="AB87" s="14" t="s">
        <v>149</v>
      </c>
      <c r="AC87" s="15" t="s">
        <v>677</v>
      </c>
      <c r="AD87" s="47" t="s">
        <v>149</v>
      </c>
      <c r="AE87" s="13"/>
      <c r="AF87" s="19" t="s">
        <v>1288</v>
      </c>
      <c r="AG87" s="15"/>
      <c r="AH87" s="15">
        <v>3</v>
      </c>
      <c r="AI87" s="14" t="s">
        <v>149</v>
      </c>
      <c r="AJ87" s="15" t="s">
        <v>242</v>
      </c>
      <c r="AK87" s="14" t="s">
        <v>148</v>
      </c>
      <c r="AL87" s="39" t="s">
        <v>1289</v>
      </c>
      <c r="AM87" s="14" t="s">
        <v>148</v>
      </c>
      <c r="AN87" s="141">
        <f>IFERROR(SUM(CHOOSE(MATCH(N87,{"Baja";"Media";"Alta"},0),1,2,3),
CHOOSE(MATCH(Q87,{"Baja";"Media";"Alta"},0),1,2,3),
CHOOSE(MATCH(T87,{"Baja";"Media";"Alta"},0),1,2,3),
CHOOSE(MATCH(W87,{"Baja";"Media";"Alta"},0),1,2,3),
CHOOSE(MATCH(AB87,{"Baja";"Media";"Alta"},0),1,2,3),
CHOOSE(MATCH(AD87,{"Baja";"Media";"Alta"},0),1,2,3),
CHOOSE(MATCH(AI87,{"Baja";"Media";"Alta"},0),1,2,3),
CHOOSE(MATCH(AK87,{"Baja";"Media";"Alta"},0),1,2,3),
CHOOSE(MATCH(AM87,{"Baja";"Media";"Alta"},0),1,2,3)),0)</f>
        <v>12</v>
      </c>
      <c r="AO87" s="67" t="str">
        <f t="shared" ref="AO87" si="26">IF(AN87=0,"Pendiente",IF(AN87&lt;=15,"Bajo",IF(AN87&lt;=21,"Medio","Alto")))</f>
        <v>Bajo</v>
      </c>
      <c r="AP87" s="18"/>
      <c r="AQ87" s="11"/>
      <c r="AR87" s="120" t="e">
        <f>VLOOKUP(A87,#REF!,2,FALSE)</f>
        <v>#REF!</v>
      </c>
      <c r="AS87" s="124" t="s">
        <v>1290</v>
      </c>
      <c r="AT87" s="94" t="s">
        <v>1291</v>
      </c>
      <c r="AU87" s="87" t="s">
        <v>1292</v>
      </c>
      <c r="AV87" s="34">
        <v>1</v>
      </c>
      <c r="AW87" s="95" t="s">
        <v>1293</v>
      </c>
    </row>
    <row r="88" spans="1:50" s="44" customFormat="1" ht="409.6">
      <c r="A88" s="33" t="s">
        <v>1294</v>
      </c>
      <c r="B88" s="16" t="str">
        <f t="shared" si="24"/>
        <v>csg-msa-sp-wstecnicos0027</v>
      </c>
      <c r="C88" s="45" t="s">
        <v>1295</v>
      </c>
      <c r="D88" s="16" t="s">
        <v>65</v>
      </c>
      <c r="E88" s="34" t="str">
        <f>VLOOKUP(D88,Tribus!$A$1:$B$33,2,FALSE)</f>
        <v>csg</v>
      </c>
      <c r="F88" s="42" t="s">
        <v>237</v>
      </c>
      <c r="G88" s="42" t="s">
        <v>238</v>
      </c>
      <c r="H88" s="42" t="s">
        <v>239</v>
      </c>
      <c r="I88" s="36" t="s">
        <v>240</v>
      </c>
      <c r="J88" s="86" t="s">
        <v>1296</v>
      </c>
      <c r="K88" s="153" t="s">
        <v>1297</v>
      </c>
      <c r="L88" s="20" t="s">
        <v>241</v>
      </c>
      <c r="M88" s="37">
        <v>9</v>
      </c>
      <c r="N88" s="47" t="s">
        <v>150</v>
      </c>
      <c r="O88" s="37" t="s">
        <v>101</v>
      </c>
      <c r="P88" s="37">
        <v>1</v>
      </c>
      <c r="Q88" s="47" t="s">
        <v>148</v>
      </c>
      <c r="R88" s="38" t="s">
        <v>1298</v>
      </c>
      <c r="S88" s="37">
        <v>4</v>
      </c>
      <c r="T88" s="47" t="s">
        <v>150</v>
      </c>
      <c r="U88" s="38" t="s">
        <v>1299</v>
      </c>
      <c r="V88" s="149" t="s">
        <v>1300</v>
      </c>
      <c r="W88" s="47" t="s">
        <v>150</v>
      </c>
      <c r="X88" s="43" t="s">
        <v>1301</v>
      </c>
      <c r="Y88" s="43" t="s">
        <v>817</v>
      </c>
      <c r="Z88" s="43"/>
      <c r="AA88" s="43"/>
      <c r="AB88" s="47" t="s">
        <v>149</v>
      </c>
      <c r="AC88" s="43" t="s">
        <v>180</v>
      </c>
      <c r="AD88" s="47" t="s">
        <v>149</v>
      </c>
      <c r="AE88" s="20" t="s">
        <v>1302</v>
      </c>
      <c r="AF88" s="20" t="s">
        <v>1303</v>
      </c>
      <c r="AG88" s="43"/>
      <c r="AH88" s="37">
        <v>33</v>
      </c>
      <c r="AI88" s="47" t="s">
        <v>150</v>
      </c>
      <c r="AJ88" s="38" t="s">
        <v>1304</v>
      </c>
      <c r="AK88" s="47" t="s">
        <v>150</v>
      </c>
      <c r="AL88" s="60" t="s">
        <v>1305</v>
      </c>
      <c r="AM88" s="47" t="s">
        <v>150</v>
      </c>
      <c r="AN88" s="150">
        <f>IFERROR(SUM(CHOOSE(MATCH(N88,{"Baja";"Media";"Alta"},0),1,2,3),
CHOOSE(MATCH(Q88,{"Baja";"Media";"Alta"},0),1,2,3),
CHOOSE(MATCH(T88,{"Baja";"Media";"Alta"},0),1,2,3),
CHOOSE(MATCH(W88,{"Baja";"Media";"Alta"},0),1,2,3),
CHOOSE(MATCH(AB88,{"Baja";"Media";"Alta"},0),1,2,3),
CHOOSE(MATCH(AD88,{"Baja";"Media";"Alta"},0),1,2,3),
CHOOSE(MATCH(AI88,{"Baja";"Media";"Alta"},0),1,2,3),
CHOOSE(MATCH(AK88,{"Baja";"Media";"Alta"},0),1,2,3),
CHOOSE(MATCH(AM88,{"Baja";"Media";"Alta"},0),1,2,3)),0)</f>
        <v>23</v>
      </c>
      <c r="AO88" s="67" t="str">
        <f t="shared" ref="AO88" si="27">IF(AN88=0,"Pendiente",IF(AN88&lt;=15,"Bajo",IF(AN88&lt;=21,"Medio","Alto")))</f>
        <v>Alto</v>
      </c>
      <c r="AP88" s="18"/>
      <c r="AQ88" s="16"/>
      <c r="AR88" s="120" t="e">
        <f>VLOOKUP(A88,#REF!,2,FALSE)</f>
        <v>#REF!</v>
      </c>
      <c r="AS88" s="104" t="s">
        <v>1306</v>
      </c>
      <c r="AT88" s="110" t="s">
        <v>1307</v>
      </c>
      <c r="AU88" s="134" t="s">
        <v>1308</v>
      </c>
      <c r="AV88" s="34">
        <v>1</v>
      </c>
      <c r="AW88" s="109" t="s">
        <v>1309</v>
      </c>
      <c r="AX88"/>
    </row>
    <row r="89" spans="1:50" s="44" customFormat="1" ht="91">
      <c r="A89" s="16" t="s">
        <v>1311</v>
      </c>
      <c r="B89" s="16" t="str">
        <f t="shared" si="24"/>
        <v>csg-msa-sp-wstecnicos0078</v>
      </c>
      <c r="C89" s="51" t="s">
        <v>1312</v>
      </c>
      <c r="D89" s="16" t="s">
        <v>65</v>
      </c>
      <c r="E89" s="34" t="str">
        <f>VLOOKUP(D89,Tribus!$A$1:$B$33,2,FALSE)</f>
        <v>csg</v>
      </c>
      <c r="F89" s="42" t="s">
        <v>237</v>
      </c>
      <c r="G89" s="42" t="s">
        <v>238</v>
      </c>
      <c r="H89" s="42" t="s">
        <v>239</v>
      </c>
      <c r="I89" s="36" t="s">
        <v>240</v>
      </c>
      <c r="J89" s="86" t="s">
        <v>1313</v>
      </c>
      <c r="K89" s="153" t="s">
        <v>1314</v>
      </c>
      <c r="L89" s="20" t="s">
        <v>241</v>
      </c>
      <c r="M89" s="37">
        <v>3</v>
      </c>
      <c r="N89" s="47" t="s">
        <v>149</v>
      </c>
      <c r="O89" s="20" t="s">
        <v>1315</v>
      </c>
      <c r="P89" s="37">
        <v>2</v>
      </c>
      <c r="Q89" s="47" t="s">
        <v>148</v>
      </c>
      <c r="R89" s="37" t="s">
        <v>242</v>
      </c>
      <c r="S89" s="37">
        <v>0</v>
      </c>
      <c r="T89" s="47" t="s">
        <v>148</v>
      </c>
      <c r="U89" s="38" t="s">
        <v>242</v>
      </c>
      <c r="V89" s="38"/>
      <c r="W89" s="47" t="s">
        <v>148</v>
      </c>
      <c r="X89" s="43" t="s">
        <v>1316</v>
      </c>
      <c r="Y89" s="43" t="s">
        <v>1317</v>
      </c>
      <c r="Z89" s="43"/>
      <c r="AA89" s="43"/>
      <c r="AB89" s="47" t="s">
        <v>148</v>
      </c>
      <c r="AC89" s="43" t="s">
        <v>677</v>
      </c>
      <c r="AD89" s="47" t="s">
        <v>149</v>
      </c>
      <c r="AE89" s="20" t="s">
        <v>59</v>
      </c>
      <c r="AF89" s="20" t="s">
        <v>1318</v>
      </c>
      <c r="AG89" s="37" t="s">
        <v>1319</v>
      </c>
      <c r="AH89" s="37">
        <v>4</v>
      </c>
      <c r="AI89" s="47" t="s">
        <v>150</v>
      </c>
      <c r="AJ89" s="37" t="s">
        <v>171</v>
      </c>
      <c r="AK89" s="47" t="s">
        <v>148</v>
      </c>
      <c r="AL89" s="60" t="s">
        <v>1320</v>
      </c>
      <c r="AM89" s="47" t="s">
        <v>149</v>
      </c>
      <c r="AN89" s="150">
        <f>IFERROR(SUM(CHOOSE(MATCH(N89,{"Baja";"Media";"Alta"},0),1,2,3),
CHOOSE(MATCH(Q89,{"Baja";"Media";"Alta"},0),1,2,3),
CHOOSE(MATCH(T89,{"Baja";"Media";"Alta"},0),1,2,3),
CHOOSE(MATCH(W89,{"Baja";"Media";"Alta"},0),1,2,3),
CHOOSE(MATCH(AB89,{"Baja";"Media";"Alta"},0),1,2,3),
CHOOSE(MATCH(AD89,{"Baja";"Media";"Alta"},0),1,2,3),
CHOOSE(MATCH(AI89,{"Baja";"Media";"Alta"},0),1,2,3),
CHOOSE(MATCH(AK89,{"Baja";"Media";"Alta"},0),1,2,3),
CHOOSE(MATCH(AM89,{"Baja";"Media";"Alta"},0),1,2,3)),0)</f>
        <v>14</v>
      </c>
      <c r="AO89" s="67" t="str">
        <f t="shared" ref="AO89" si="28">IF(AN89=0,"Pendiente",IF(AN89&lt;=15,"Bajo",IF(AN89&lt;=21,"Medio","Alto")))</f>
        <v>Bajo</v>
      </c>
      <c r="AP89" s="18"/>
      <c r="AQ89" s="34"/>
      <c r="AR89" s="120" t="e">
        <f>VLOOKUP(A89,#REF!,2,FALSE)</f>
        <v>#REF!</v>
      </c>
      <c r="AS89" s="104" t="s">
        <v>1321</v>
      </c>
      <c r="AT89" s="110" t="s">
        <v>1322</v>
      </c>
      <c r="AU89" s="134" t="s">
        <v>1323</v>
      </c>
      <c r="AV89" s="34">
        <v>1</v>
      </c>
      <c r="AW89" s="126" t="s">
        <v>1324</v>
      </c>
      <c r="AX89"/>
    </row>
    <row r="90" spans="1:50" ht="195">
      <c r="A90" s="16" t="s">
        <v>1325</v>
      </c>
      <c r="B90" s="16" t="str">
        <f t="shared" ref="B90" si="29">CONCATENATE(LOWER(E90),"-msa-sp-",LOWER(A90))</f>
        <v>tpr-msa-sp-wsclientes0002</v>
      </c>
      <c r="C90" s="51" t="s">
        <v>1326</v>
      </c>
      <c r="D90" s="16" t="s">
        <v>59</v>
      </c>
      <c r="E90" s="34" t="str">
        <f>VLOOKUP(D90,Tribus!$A$1:$B$33,2,FALSE)</f>
        <v>tpr</v>
      </c>
      <c r="F90" s="42" t="s">
        <v>441</v>
      </c>
      <c r="G90" s="42" t="s">
        <v>238</v>
      </c>
      <c r="H90" s="42" t="s">
        <v>239</v>
      </c>
      <c r="I90" s="36" t="s">
        <v>240</v>
      </c>
      <c r="J90" s="155" t="s">
        <v>1327</v>
      </c>
      <c r="K90" s="156" t="s">
        <v>1328</v>
      </c>
      <c r="L90" s="63" t="s">
        <v>241</v>
      </c>
      <c r="M90" s="37">
        <v>1</v>
      </c>
      <c r="N90" s="47" t="s">
        <v>148</v>
      </c>
      <c r="O90" s="37" t="s">
        <v>101</v>
      </c>
      <c r="P90" s="37">
        <v>1</v>
      </c>
      <c r="Q90" s="47" t="s">
        <v>148</v>
      </c>
      <c r="R90" s="37" t="s">
        <v>1329</v>
      </c>
      <c r="S90" s="37">
        <v>1</v>
      </c>
      <c r="T90" s="47" t="s">
        <v>148</v>
      </c>
      <c r="U90" s="38" t="s">
        <v>242</v>
      </c>
      <c r="V90" s="38"/>
      <c r="W90" s="47" t="s">
        <v>148</v>
      </c>
      <c r="X90" s="43" t="s">
        <v>1330</v>
      </c>
      <c r="Y90" s="43" t="s">
        <v>1331</v>
      </c>
      <c r="Z90" s="43"/>
      <c r="AA90" s="43"/>
      <c r="AB90" s="47" t="s">
        <v>150</v>
      </c>
      <c r="AC90" s="43" t="s">
        <v>677</v>
      </c>
      <c r="AD90" s="47" t="s">
        <v>149</v>
      </c>
      <c r="AE90" s="20" t="s">
        <v>59</v>
      </c>
      <c r="AF90" s="20" t="s">
        <v>1332</v>
      </c>
      <c r="AG90" s="20"/>
      <c r="AH90" s="37">
        <v>4</v>
      </c>
      <c r="AI90" s="47" t="s">
        <v>149</v>
      </c>
      <c r="AJ90" s="37" t="s">
        <v>171</v>
      </c>
      <c r="AK90" s="47" t="s">
        <v>148</v>
      </c>
      <c r="AL90" s="60" t="s">
        <v>1333</v>
      </c>
      <c r="AM90" s="47" t="s">
        <v>148</v>
      </c>
      <c r="AN90" s="150">
        <f>IFERROR(SUM(CHOOSE(MATCH(N90,{"Baja";"Media";"Alta"},0),1,2,3),
CHOOSE(MATCH(Q90,{"Baja";"Media";"Alta"},0),1,2,3),
CHOOSE(MATCH(T90,{"Baja";"Media";"Alta"},0),1,2,3),
CHOOSE(MATCH(W90,{"Baja";"Media";"Alta"},0),1,2,3),
CHOOSE(MATCH(AB90,{"Baja";"Media";"Alta"},0),1,2,3),
CHOOSE(MATCH(AD90,{"Baja";"Media";"Alta"},0),1,2,3),
CHOOSE(MATCH(AI90,{"Baja";"Media";"Alta"},0),1,2,3),
CHOOSE(MATCH(AK90,{"Baja";"Media";"Alta"},0),1,2,3),
CHOOSE(MATCH(AM90,{"Baja";"Media";"Alta"},0),1,2,3)),0)</f>
        <v>13</v>
      </c>
      <c r="AO90" s="67" t="str">
        <f t="shared" ref="AO90" si="30">IF(AN90=0,"Pendiente",IF(AN90&lt;=15,"Bajo",IF(AN90&lt;=21,"Medio","Alto")))</f>
        <v>Bajo</v>
      </c>
      <c r="AP90" s="18"/>
      <c r="AQ90" s="16"/>
      <c r="AR90" s="120" t="e">
        <f>VLOOKUP(A90,#REF!,2,FALSE)</f>
        <v>#REF!</v>
      </c>
      <c r="AS90" s="104" t="s">
        <v>1334</v>
      </c>
      <c r="AT90" s="110" t="s">
        <v>1335</v>
      </c>
      <c r="AU90" s="134" t="s">
        <v>1336</v>
      </c>
      <c r="AV90" s="34">
        <v>1</v>
      </c>
      <c r="AW90" s="95" t="s">
        <v>1337</v>
      </c>
    </row>
    <row r="91" spans="1:50" ht="80">
      <c r="A91" s="11" t="s">
        <v>1338</v>
      </c>
      <c r="B91" s="11" t="str">
        <f t="shared" ref="B91:B92" si="31">CONCATENATE(LOWER(E91),"-msa-sp-",LOWER(A91))</f>
        <v>tpr-msa-sp-wsproductos0023</v>
      </c>
      <c r="C91" s="57" t="s">
        <v>1339</v>
      </c>
      <c r="D91" s="16" t="s">
        <v>59</v>
      </c>
      <c r="E91" s="114" t="str">
        <f>VLOOKUP(D91,Tribus!$A$1:$B$33,2,FALSE)</f>
        <v>tpr</v>
      </c>
      <c r="F91" s="12" t="s">
        <v>441</v>
      </c>
      <c r="G91" s="12" t="s">
        <v>238</v>
      </c>
      <c r="H91" s="12" t="s">
        <v>239</v>
      </c>
      <c r="I91" s="151" t="s">
        <v>240</v>
      </c>
      <c r="J91" s="169" t="s">
        <v>1340</v>
      </c>
      <c r="K91" s="19" t="s">
        <v>1341</v>
      </c>
      <c r="L91" s="19" t="s">
        <v>1342</v>
      </c>
      <c r="M91" s="15">
        <v>1</v>
      </c>
      <c r="N91" s="14" t="s">
        <v>148</v>
      </c>
      <c r="O91" s="15" t="s">
        <v>505</v>
      </c>
      <c r="P91" s="15">
        <v>1</v>
      </c>
      <c r="Q91" s="14" t="s">
        <v>148</v>
      </c>
      <c r="R91" s="15" t="s">
        <v>242</v>
      </c>
      <c r="S91" s="15">
        <v>0</v>
      </c>
      <c r="T91" s="14" t="s">
        <v>148</v>
      </c>
      <c r="U91" s="84" t="s">
        <v>242</v>
      </c>
      <c r="V91" s="15"/>
      <c r="W91" s="14" t="s">
        <v>148</v>
      </c>
      <c r="X91" s="15" t="s">
        <v>1343</v>
      </c>
      <c r="Y91" s="15" t="s">
        <v>1344</v>
      </c>
      <c r="Z91" s="15"/>
      <c r="AA91" s="15"/>
      <c r="AB91" s="14" t="s">
        <v>150</v>
      </c>
      <c r="AC91" s="15" t="s">
        <v>905</v>
      </c>
      <c r="AD91" s="47" t="s">
        <v>149</v>
      </c>
      <c r="AE91" s="19" t="s">
        <v>1345</v>
      </c>
      <c r="AF91" s="19" t="s">
        <v>1346</v>
      </c>
      <c r="AG91" s="15">
        <v>0</v>
      </c>
      <c r="AH91" s="15">
        <v>3</v>
      </c>
      <c r="AI91" s="14" t="s">
        <v>149</v>
      </c>
      <c r="AJ91" s="15" t="s">
        <v>171</v>
      </c>
      <c r="AK91" s="14" t="s">
        <v>148</v>
      </c>
      <c r="AL91" s="39" t="s">
        <v>1347</v>
      </c>
      <c r="AM91" s="14" t="s">
        <v>148</v>
      </c>
      <c r="AN91" s="141">
        <f>IFERROR(SUM(CHOOSE(MATCH(N91,{"Baja";"Media";"Alta"},0),1,2,3),
CHOOSE(MATCH(Q91,{"Baja";"Media";"Alta"},0),1,2,3),
CHOOSE(MATCH(T91,{"Baja";"Media";"Alta"},0),1,2,3),
CHOOSE(MATCH(W91,{"Baja";"Media";"Alta"},0),1,2,3),
CHOOSE(MATCH(AB91,{"Baja";"Media";"Alta"},0),1,2,3),
CHOOSE(MATCH(AD91,{"Baja";"Media";"Alta"},0),1,2,3),
CHOOSE(MATCH(AI91,{"Baja";"Media";"Alta"},0),1,2,3),
CHOOSE(MATCH(AK91,{"Baja";"Media";"Alta"},0),1,2,3),
CHOOSE(MATCH(AM91,{"Baja";"Media";"Alta"},0),1,2,3)),0)</f>
        <v>13</v>
      </c>
      <c r="AO91" s="67" t="str">
        <f t="shared" ref="AO91:AO92" si="32">IF(AN91=0,"Pendiente",IF(AN91&lt;=15,"Bajo",IF(AN91&lt;=21,"Medio","Alto")))</f>
        <v>Bajo</v>
      </c>
      <c r="AP91" s="18"/>
      <c r="AQ91" s="11" t="s">
        <v>1348</v>
      </c>
      <c r="AR91" s="120" t="e">
        <f>VLOOKUP(A91,#REF!,2,FALSE)</f>
        <v>#REF!</v>
      </c>
      <c r="AS91" s="98" t="s">
        <v>1349</v>
      </c>
      <c r="AT91" s="94" t="s">
        <v>1350</v>
      </c>
      <c r="AU91" s="98" t="s">
        <v>1351</v>
      </c>
      <c r="AV91" s="34">
        <v>1</v>
      </c>
      <c r="AW91" s="95" t="s">
        <v>1352</v>
      </c>
    </row>
    <row r="92" spans="1:50" ht="392">
      <c r="A92" s="16" t="s">
        <v>1353</v>
      </c>
      <c r="B92" s="16" t="str">
        <f t="shared" si="31"/>
        <v>tpr-msa-sp-wsproductos0024</v>
      </c>
      <c r="C92" s="51" t="s">
        <v>1354</v>
      </c>
      <c r="D92" s="16" t="s">
        <v>59</v>
      </c>
      <c r="E92" s="34" t="str">
        <f>VLOOKUP(D92,Tribus!$A$1:$B$33,2,FALSE)</f>
        <v>tpr</v>
      </c>
      <c r="F92" s="42" t="s">
        <v>441</v>
      </c>
      <c r="G92" s="42" t="s">
        <v>238</v>
      </c>
      <c r="H92" s="42" t="s">
        <v>239</v>
      </c>
      <c r="I92" s="36" t="s">
        <v>240</v>
      </c>
      <c r="J92" s="155" t="s">
        <v>1355</v>
      </c>
      <c r="K92" s="156" t="s">
        <v>1341</v>
      </c>
      <c r="L92" s="63" t="s">
        <v>241</v>
      </c>
      <c r="M92" s="37">
        <v>5</v>
      </c>
      <c r="N92" s="47" t="s">
        <v>150</v>
      </c>
      <c r="O92" s="37" t="s">
        <v>101</v>
      </c>
      <c r="P92" s="37">
        <v>1</v>
      </c>
      <c r="Q92" s="47" t="s">
        <v>148</v>
      </c>
      <c r="R92" s="37" t="s">
        <v>1329</v>
      </c>
      <c r="S92" s="37">
        <v>2</v>
      </c>
      <c r="T92" s="47" t="s">
        <v>149</v>
      </c>
      <c r="U92" s="38" t="s">
        <v>1356</v>
      </c>
      <c r="V92" s="22" t="s">
        <v>1357</v>
      </c>
      <c r="W92" s="47" t="s">
        <v>149</v>
      </c>
      <c r="X92" s="43" t="s">
        <v>1358</v>
      </c>
      <c r="Y92" s="43" t="s">
        <v>1331</v>
      </c>
      <c r="Z92" s="43"/>
      <c r="AA92" s="43"/>
      <c r="AB92" s="47" t="s">
        <v>150</v>
      </c>
      <c r="AC92" s="43" t="s">
        <v>677</v>
      </c>
      <c r="AD92" s="47" t="s">
        <v>149</v>
      </c>
      <c r="AE92" s="20" t="s">
        <v>59</v>
      </c>
      <c r="AF92" s="20" t="s">
        <v>1359</v>
      </c>
      <c r="AG92" s="43"/>
      <c r="AH92" s="37">
        <v>6</v>
      </c>
      <c r="AI92" s="123" t="s">
        <v>150</v>
      </c>
      <c r="AJ92" s="37" t="s">
        <v>171</v>
      </c>
      <c r="AK92" s="47" t="s">
        <v>148</v>
      </c>
      <c r="AL92" s="60" t="s">
        <v>1360</v>
      </c>
      <c r="AM92" s="47" t="s">
        <v>149</v>
      </c>
      <c r="AN92" s="150">
        <f>IFERROR(SUM(CHOOSE(MATCH(N92,{"Baja";"Media";"Alta"},0),1,2,3),
CHOOSE(MATCH(Q92,{"Baja";"Media";"Alta"},0),1,2,3),
CHOOSE(MATCH(T92,{"Baja";"Media";"Alta"},0),1,2,3),
CHOOSE(MATCH(W92,{"Baja";"Media";"Alta"},0),1,2,3),
CHOOSE(MATCH(AB92,{"Baja";"Media";"Alta"},0),1,2,3),
CHOOSE(MATCH(AD92,{"Baja";"Media";"Alta"},0),1,2,3),
CHOOSE(MATCH(AI92,{"Baja";"Media";"Alta"},0),1,2,3),
CHOOSE(MATCH(AK92,{"Baja";"Media";"Alta"},0),1,2,3),
CHOOSE(MATCH(AM92,{"Baja";"Media";"Alta"},0),1,2,3)),0)</f>
        <v>19</v>
      </c>
      <c r="AO92" s="67" t="str">
        <f t="shared" si="32"/>
        <v>Medio</v>
      </c>
      <c r="AP92" s="18"/>
      <c r="AQ92" s="16"/>
      <c r="AR92" s="120" t="e">
        <f>VLOOKUP(A92,#REF!,2,FALSE)</f>
        <v>#REF!</v>
      </c>
      <c r="AS92" s="104" t="s">
        <v>1361</v>
      </c>
      <c r="AT92" s="110" t="s">
        <v>1362</v>
      </c>
      <c r="AU92" s="134" t="s">
        <v>1363</v>
      </c>
      <c r="AV92" s="34">
        <v>1</v>
      </c>
      <c r="AW92" s="95" t="s">
        <v>1364</v>
      </c>
    </row>
    <row r="93" spans="1:50" ht="192">
      <c r="A93" s="11" t="s">
        <v>1366</v>
      </c>
      <c r="B93" s="11" t="str">
        <f t="shared" ref="B93:B94" si="33">CONCATENATE(LOWER(E93),"-msa-sp-",LOWER(A93))</f>
        <v>tpr-msa-sp-wsproductos0082</v>
      </c>
      <c r="C93" s="57" t="s">
        <v>1367</v>
      </c>
      <c r="D93" s="11" t="s">
        <v>59</v>
      </c>
      <c r="E93" s="114" t="str">
        <f>VLOOKUP(D93,Tribus!$A$1:$B$33,2,FALSE)</f>
        <v>tpr</v>
      </c>
      <c r="F93" s="12" t="s">
        <v>441</v>
      </c>
      <c r="G93" s="12" t="s">
        <v>238</v>
      </c>
      <c r="H93" s="12" t="s">
        <v>239</v>
      </c>
      <c r="I93" s="151" t="s">
        <v>240</v>
      </c>
      <c r="J93" s="19" t="s">
        <v>1368</v>
      </c>
      <c r="K93" s="62" t="s">
        <v>1369</v>
      </c>
      <c r="L93" s="62" t="s">
        <v>241</v>
      </c>
      <c r="M93" s="15">
        <v>2</v>
      </c>
      <c r="N93" s="14" t="s">
        <v>149</v>
      </c>
      <c r="O93" s="15" t="s">
        <v>1370</v>
      </c>
      <c r="P93" s="15">
        <v>1</v>
      </c>
      <c r="Q93" s="14" t="s">
        <v>148</v>
      </c>
      <c r="R93" s="15" t="s">
        <v>1371</v>
      </c>
      <c r="S93" s="15">
        <v>2</v>
      </c>
      <c r="T93" s="14" t="s">
        <v>149</v>
      </c>
      <c r="U93" s="38" t="s">
        <v>242</v>
      </c>
      <c r="V93" s="38"/>
      <c r="W93" s="14" t="s">
        <v>148</v>
      </c>
      <c r="X93" s="15" t="s">
        <v>1372</v>
      </c>
      <c r="Y93" s="15" t="s">
        <v>1373</v>
      </c>
      <c r="Z93" s="15"/>
      <c r="AA93" s="15"/>
      <c r="AB93" s="14" t="s">
        <v>148</v>
      </c>
      <c r="AC93" s="15" t="s">
        <v>677</v>
      </c>
      <c r="AD93" s="47" t="s">
        <v>149</v>
      </c>
      <c r="AE93" s="19"/>
      <c r="AF93" s="19" t="s">
        <v>1374</v>
      </c>
      <c r="AG93" s="15" t="s">
        <v>769</v>
      </c>
      <c r="AH93" s="15">
        <v>2</v>
      </c>
      <c r="AI93" s="14" t="s">
        <v>148</v>
      </c>
      <c r="AJ93" s="15" t="s">
        <v>171</v>
      </c>
      <c r="AK93" s="14" t="s">
        <v>148</v>
      </c>
      <c r="AL93" s="50" t="s">
        <v>1375</v>
      </c>
      <c r="AM93" s="14" t="s">
        <v>148</v>
      </c>
      <c r="AN93" s="141">
        <f>IFERROR(SUM(CHOOSE(MATCH(N93,{"Baja";"Media";"Alta"},0),1,2,3),
CHOOSE(MATCH(Q93,{"Baja";"Media";"Alta"},0),1,2,3),
CHOOSE(MATCH(T93,{"Baja";"Media";"Alta"},0),1,2,3),
CHOOSE(MATCH(W93,{"Baja";"Media";"Alta"},0),1,2,3),
CHOOSE(MATCH(AB93,{"Baja";"Media";"Alta"},0),1,2,3),
CHOOSE(MATCH(AD93,{"Baja";"Media";"Alta"},0),1,2,3),
CHOOSE(MATCH(AI93,{"Baja";"Media";"Alta"},0),1,2,3),
CHOOSE(MATCH(AK93,{"Baja";"Media";"Alta"},0),1,2,3),
CHOOSE(MATCH(AM93,{"Baja";"Media";"Alta"},0),1,2,3)),0)</f>
        <v>12</v>
      </c>
      <c r="AO93" s="67" t="str">
        <f t="shared" ref="AO93:AO94" si="34">IF(AN93=0,"Pendiente",IF(AN93&lt;=15,"Bajo",IF(AN93&lt;=21,"Medio","Alto")))</f>
        <v>Bajo</v>
      </c>
      <c r="AP93" s="18"/>
      <c r="AQ93" s="11" t="s">
        <v>1376</v>
      </c>
      <c r="AR93" s="120" t="e">
        <f>VLOOKUP(A93,#REF!,2,FALSE)</f>
        <v>#REF!</v>
      </c>
      <c r="AS93" s="87" t="s">
        <v>1377</v>
      </c>
      <c r="AT93" s="94" t="s">
        <v>1378</v>
      </c>
      <c r="AU93" s="87" t="s">
        <v>1379</v>
      </c>
      <c r="AV93" s="34">
        <v>1</v>
      </c>
      <c r="AW93" s="95" t="s">
        <v>1380</v>
      </c>
    </row>
    <row r="94" spans="1:50" ht="169">
      <c r="A94" s="16" t="s">
        <v>1381</v>
      </c>
      <c r="B94" s="16" t="str">
        <f t="shared" si="33"/>
        <v>tnd-msa-sp-wsproductos0118</v>
      </c>
      <c r="C94" s="51" t="s">
        <v>1382</v>
      </c>
      <c r="D94" s="16" t="s">
        <v>61</v>
      </c>
      <c r="E94" s="34" t="str">
        <f>VLOOKUP(D94,Tribus!$A$1:$B$33,2,FALSE)</f>
        <v>tnd</v>
      </c>
      <c r="F94" s="42" t="s">
        <v>441</v>
      </c>
      <c r="G94" s="42" t="s">
        <v>238</v>
      </c>
      <c r="H94" s="42" t="s">
        <v>239</v>
      </c>
      <c r="I94" s="36" t="s">
        <v>240</v>
      </c>
      <c r="J94" s="155" t="s">
        <v>1383</v>
      </c>
      <c r="K94" s="156" t="s">
        <v>1341</v>
      </c>
      <c r="L94" s="63" t="s">
        <v>241</v>
      </c>
      <c r="M94" s="37">
        <v>1</v>
      </c>
      <c r="N94" s="47" t="s">
        <v>148</v>
      </c>
      <c r="O94" s="37" t="s">
        <v>101</v>
      </c>
      <c r="P94" s="37">
        <v>1</v>
      </c>
      <c r="Q94" s="47" t="s">
        <v>148</v>
      </c>
      <c r="R94" s="37" t="s">
        <v>1329</v>
      </c>
      <c r="S94" s="37">
        <v>1</v>
      </c>
      <c r="T94" s="47" t="s">
        <v>148</v>
      </c>
      <c r="U94" s="38" t="s">
        <v>242</v>
      </c>
      <c r="V94" s="38"/>
      <c r="W94" s="47" t="s">
        <v>148</v>
      </c>
      <c r="X94" s="43" t="s">
        <v>1384</v>
      </c>
      <c r="Y94" s="43" t="s">
        <v>1385</v>
      </c>
      <c r="Z94" s="43"/>
      <c r="AA94" s="43"/>
      <c r="AB94" s="47" t="s">
        <v>150</v>
      </c>
      <c r="AC94" s="43" t="s">
        <v>678</v>
      </c>
      <c r="AD94" s="47" t="s">
        <v>149</v>
      </c>
      <c r="AE94" s="20"/>
      <c r="AF94" s="43" t="s">
        <v>263</v>
      </c>
      <c r="AG94" s="43"/>
      <c r="AH94" s="37">
        <v>1</v>
      </c>
      <c r="AI94" s="123" t="s">
        <v>148</v>
      </c>
      <c r="AJ94" s="37" t="s">
        <v>171</v>
      </c>
      <c r="AK94" s="47" t="s">
        <v>148</v>
      </c>
      <c r="AL94" s="60" t="s">
        <v>1386</v>
      </c>
      <c r="AM94" s="47" t="s">
        <v>149</v>
      </c>
      <c r="AN94" s="150">
        <f>IFERROR(SUM(CHOOSE(MATCH(N94,{"Baja";"Media";"Alta"},0),1,2,3),
CHOOSE(MATCH(Q94,{"Baja";"Media";"Alta"},0),1,2,3),
CHOOSE(MATCH(T94,{"Baja";"Media";"Alta"},0),1,2,3),
CHOOSE(MATCH(W94,{"Baja";"Media";"Alta"},0),1,2,3),
CHOOSE(MATCH(AB94,{"Baja";"Media";"Alta"},0),1,2,3),
CHOOSE(MATCH(AD94,{"Baja";"Media";"Alta"},0),1,2,3),
CHOOSE(MATCH(AI94,{"Baja";"Media";"Alta"},0),1,2,3),
CHOOSE(MATCH(AK94,{"Baja";"Media";"Alta"},0),1,2,3),
CHOOSE(MATCH(AM94,{"Baja";"Media";"Alta"},0),1,2,3)),0)</f>
        <v>13</v>
      </c>
      <c r="AO94" s="67" t="str">
        <f t="shared" si="34"/>
        <v>Bajo</v>
      </c>
      <c r="AP94" s="18"/>
      <c r="AQ94" s="16"/>
      <c r="AR94" s="120" t="e">
        <f>VLOOKUP(A94,#REF!,2,FALSE)</f>
        <v>#REF!</v>
      </c>
      <c r="AS94" s="104" t="s">
        <v>1387</v>
      </c>
      <c r="AT94" s="110" t="s">
        <v>1388</v>
      </c>
      <c r="AU94" s="134" t="s">
        <v>1389</v>
      </c>
      <c r="AV94" s="34">
        <v>1</v>
      </c>
      <c r="AW94" s="95" t="s">
        <v>1390</v>
      </c>
    </row>
    <row r="95" spans="1:50" s="44" customFormat="1" ht="404">
      <c r="A95" s="16" t="s">
        <v>555</v>
      </c>
      <c r="B95" s="16" t="str">
        <f t="shared" ref="B95:B99" si="35">CONCATENATE(LOWER(E95),"-msa-sp-",LOWER(A95))</f>
        <v>tmp-msa-sp-wstecnicos0003</v>
      </c>
      <c r="C95" s="51" t="s">
        <v>1391</v>
      </c>
      <c r="D95" s="16" t="s">
        <v>57</v>
      </c>
      <c r="E95" s="34" t="str">
        <f>VLOOKUP(D95,Tribus!$A$1:$B$33,2,FALSE)</f>
        <v>tmp</v>
      </c>
      <c r="F95" s="42" t="s">
        <v>441</v>
      </c>
      <c r="G95" s="42" t="s">
        <v>238</v>
      </c>
      <c r="H95" s="42" t="s">
        <v>239</v>
      </c>
      <c r="I95" s="36" t="s">
        <v>240</v>
      </c>
      <c r="J95" s="155" t="s">
        <v>1392</v>
      </c>
      <c r="K95" s="154" t="s">
        <v>1341</v>
      </c>
      <c r="L95" s="54" t="s">
        <v>241</v>
      </c>
      <c r="M95" s="37">
        <v>4</v>
      </c>
      <c r="N95" s="47" t="s">
        <v>150</v>
      </c>
      <c r="O95" s="38" t="s">
        <v>1393</v>
      </c>
      <c r="P95" s="37">
        <v>2</v>
      </c>
      <c r="Q95" s="47" t="s">
        <v>149</v>
      </c>
      <c r="R95" s="37" t="s">
        <v>1329</v>
      </c>
      <c r="S95" s="37">
        <v>3</v>
      </c>
      <c r="T95" s="47" t="s">
        <v>149</v>
      </c>
      <c r="U95" s="38" t="s">
        <v>1356</v>
      </c>
      <c r="V95" s="22" t="s">
        <v>1394</v>
      </c>
      <c r="W95" s="47" t="s">
        <v>150</v>
      </c>
      <c r="X95" s="43" t="s">
        <v>1395</v>
      </c>
      <c r="Y95" s="43" t="s">
        <v>1385</v>
      </c>
      <c r="Z95" s="43"/>
      <c r="AA95" s="43"/>
      <c r="AB95" s="47" t="s">
        <v>148</v>
      </c>
      <c r="AC95" s="43" t="s">
        <v>677</v>
      </c>
      <c r="AD95" s="47" t="s">
        <v>149</v>
      </c>
      <c r="AE95" s="20"/>
      <c r="AF95" s="20" t="s">
        <v>1396</v>
      </c>
      <c r="AG95" s="20" t="s">
        <v>1397</v>
      </c>
      <c r="AH95" s="37">
        <v>11</v>
      </c>
      <c r="AI95" s="47" t="s">
        <v>150</v>
      </c>
      <c r="AJ95" s="37" t="s">
        <v>171</v>
      </c>
      <c r="AK95" s="47" t="s">
        <v>148</v>
      </c>
      <c r="AL95" s="40" t="s">
        <v>1398</v>
      </c>
      <c r="AM95" s="47" t="s">
        <v>148</v>
      </c>
      <c r="AN95" s="150">
        <f>IFERROR(SUM(CHOOSE(MATCH(N95,{"Baja";"Media";"Alta"},0),1,2,3),
CHOOSE(MATCH(Q95,{"Baja";"Media";"Alta"},0),1,2,3),
CHOOSE(MATCH(T95,{"Baja";"Media";"Alta"},0),1,2,3),
CHOOSE(MATCH(W95,{"Baja";"Media";"Alta"},0),1,2,3),
CHOOSE(MATCH(AB95,{"Baja";"Media";"Alta"},0),1,2,3),
CHOOSE(MATCH(AD95,{"Baja";"Media";"Alta"},0),1,2,3),
CHOOSE(MATCH(AI95,{"Baja";"Media";"Alta"},0),1,2,3),
CHOOSE(MATCH(AK95,{"Baja";"Media";"Alta"},0),1,2,3),
CHOOSE(MATCH(AM95,{"Baja";"Media";"Alta"},0),1,2,3)),0)</f>
        <v>18</v>
      </c>
      <c r="AO95" s="67" t="str">
        <f t="shared" ref="AO95:AO96" si="36">IF(AN95=0,"Pendiente",IF(AN95&lt;=15,"Bajo",IF(AN95&lt;=21,"Medio","Alto")))</f>
        <v>Medio</v>
      </c>
      <c r="AP95" s="18"/>
      <c r="AQ95" s="16"/>
      <c r="AR95" s="120" t="e">
        <f>VLOOKUP(A95,#REF!,2,FALSE)</f>
        <v>#REF!</v>
      </c>
      <c r="AS95" s="104" t="s">
        <v>1399</v>
      </c>
      <c r="AT95" s="110" t="s">
        <v>1400</v>
      </c>
      <c r="AU95" s="134" t="s">
        <v>1401</v>
      </c>
      <c r="AV95" s="34">
        <v>1</v>
      </c>
      <c r="AW95" s="126" t="s">
        <v>1402</v>
      </c>
      <c r="AX95"/>
    </row>
    <row r="96" spans="1:50" ht="240">
      <c r="A96" s="11" t="s">
        <v>1403</v>
      </c>
      <c r="B96" s="11" t="str">
        <f t="shared" si="35"/>
        <v>tia-msa-sp-wstecnicos0004</v>
      </c>
      <c r="C96" s="57" t="s">
        <v>1404</v>
      </c>
      <c r="D96" s="11" t="s">
        <v>87</v>
      </c>
      <c r="E96" s="114" t="str">
        <f>VLOOKUP(D96,Tribus!$A$1:$B$33,2,FALSE)</f>
        <v>tia</v>
      </c>
      <c r="F96" s="12" t="s">
        <v>441</v>
      </c>
      <c r="G96" s="12" t="s">
        <v>238</v>
      </c>
      <c r="H96" s="12" t="s">
        <v>239</v>
      </c>
      <c r="I96" s="151" t="s">
        <v>240</v>
      </c>
      <c r="J96" s="15" t="s">
        <v>1405</v>
      </c>
      <c r="K96" s="54" t="s">
        <v>1341</v>
      </c>
      <c r="L96" s="15" t="s">
        <v>241</v>
      </c>
      <c r="M96" s="15">
        <v>1</v>
      </c>
      <c r="N96" s="14" t="s">
        <v>148</v>
      </c>
      <c r="O96" s="15" t="s">
        <v>101</v>
      </c>
      <c r="P96" s="15">
        <v>1</v>
      </c>
      <c r="Q96" s="14" t="s">
        <v>148</v>
      </c>
      <c r="R96" s="15" t="s">
        <v>1406</v>
      </c>
      <c r="S96" s="15">
        <v>1</v>
      </c>
      <c r="T96" s="14" t="s">
        <v>148</v>
      </c>
      <c r="U96" s="84" t="s">
        <v>242</v>
      </c>
      <c r="V96" s="15"/>
      <c r="W96" s="14" t="s">
        <v>148</v>
      </c>
      <c r="X96" s="15" t="s">
        <v>1407</v>
      </c>
      <c r="Y96" s="15" t="s">
        <v>1408</v>
      </c>
      <c r="Z96" s="15"/>
      <c r="AA96" s="15"/>
      <c r="AB96" s="14" t="s">
        <v>150</v>
      </c>
      <c r="AC96" s="15" t="s">
        <v>1409</v>
      </c>
      <c r="AD96" s="47" t="s">
        <v>150</v>
      </c>
      <c r="AE96" s="19" t="s">
        <v>1310</v>
      </c>
      <c r="AF96" s="15" t="s">
        <v>1410</v>
      </c>
      <c r="AG96" s="15">
        <v>0</v>
      </c>
      <c r="AH96" s="15">
        <v>1</v>
      </c>
      <c r="AI96" s="14" t="s">
        <v>148</v>
      </c>
      <c r="AJ96" s="15" t="s">
        <v>242</v>
      </c>
      <c r="AK96" s="14" t="s">
        <v>148</v>
      </c>
      <c r="AL96" s="39" t="s">
        <v>1411</v>
      </c>
      <c r="AM96" s="14" t="s">
        <v>148</v>
      </c>
      <c r="AN96" s="141">
        <f>IFERROR(SUM(CHOOSE(MATCH(N96,{"Baja";"Media";"Alta"},0),1,2,3),
CHOOSE(MATCH(Q96,{"Baja";"Media";"Alta"},0),1,2,3),
CHOOSE(MATCH(T96,{"Baja";"Media";"Alta"},0),1,2,3),
CHOOSE(MATCH(W96,{"Baja";"Media";"Alta"},0),1,2,3),
CHOOSE(MATCH(AB96,{"Baja";"Media";"Alta"},0),1,2,3),
CHOOSE(MATCH(AD96,{"Baja";"Media";"Alta"},0),1,2,3),
CHOOSE(MATCH(AI96,{"Baja";"Media";"Alta"},0),1,2,3),
CHOOSE(MATCH(AK96,{"Baja";"Media";"Alta"},0),1,2,3),
CHOOSE(MATCH(AM96,{"Baja";"Media";"Alta"},0),1,2,3)),0)</f>
        <v>13</v>
      </c>
      <c r="AO96" s="67" t="str">
        <f t="shared" si="36"/>
        <v>Bajo</v>
      </c>
      <c r="AP96" s="18"/>
      <c r="AQ96" s="11" t="s">
        <v>1412</v>
      </c>
      <c r="AR96" s="120" t="e">
        <f>VLOOKUP(A96,#REF!,2,FALSE)</f>
        <v>#REF!</v>
      </c>
      <c r="AS96" s="98" t="s">
        <v>1413</v>
      </c>
      <c r="AT96" s="124" t="s">
        <v>1414</v>
      </c>
      <c r="AU96" s="98" t="s">
        <v>1415</v>
      </c>
      <c r="AV96" s="34">
        <v>1</v>
      </c>
      <c r="AW96" s="95" t="s">
        <v>1416</v>
      </c>
    </row>
    <row r="97" spans="1:55" ht="195">
      <c r="A97" s="16" t="s">
        <v>1418</v>
      </c>
      <c r="B97" s="16" t="str">
        <f t="shared" si="35"/>
        <v>tnd-msa-sp-wstecnicos0035</v>
      </c>
      <c r="C97" s="51" t="s">
        <v>1419</v>
      </c>
      <c r="D97" s="16" t="s">
        <v>61</v>
      </c>
      <c r="E97" s="34" t="str">
        <f>VLOOKUP(D97,Tribus!$A$1:$B$33,2,FALSE)</f>
        <v>tnd</v>
      </c>
      <c r="F97" s="42" t="s">
        <v>441</v>
      </c>
      <c r="G97" s="42" t="s">
        <v>238</v>
      </c>
      <c r="H97" s="42" t="s">
        <v>239</v>
      </c>
      <c r="I97" s="36" t="s">
        <v>240</v>
      </c>
      <c r="J97" s="152" t="s">
        <v>1420</v>
      </c>
      <c r="K97" s="154" t="s">
        <v>1341</v>
      </c>
      <c r="L97" s="54" t="s">
        <v>241</v>
      </c>
      <c r="M97" s="37">
        <v>1</v>
      </c>
      <c r="N97" s="47" t="s">
        <v>148</v>
      </c>
      <c r="O97" s="37" t="s">
        <v>101</v>
      </c>
      <c r="P97" s="37">
        <v>1</v>
      </c>
      <c r="Q97" s="47" t="s">
        <v>148</v>
      </c>
      <c r="R97" s="37" t="s">
        <v>1329</v>
      </c>
      <c r="S97" s="37">
        <v>1</v>
      </c>
      <c r="T97" s="47" t="s">
        <v>148</v>
      </c>
      <c r="U97" s="38" t="s">
        <v>242</v>
      </c>
      <c r="V97" s="38"/>
      <c r="W97" s="47" t="s">
        <v>148</v>
      </c>
      <c r="X97" s="46" t="s">
        <v>1421</v>
      </c>
      <c r="Y97" s="46" t="s">
        <v>1422</v>
      </c>
      <c r="Z97" s="46"/>
      <c r="AA97" s="46"/>
      <c r="AB97" s="47" t="s">
        <v>148</v>
      </c>
      <c r="AC97" s="43" t="s">
        <v>677</v>
      </c>
      <c r="AD97" s="47" t="s">
        <v>149</v>
      </c>
      <c r="AE97" s="20"/>
      <c r="AF97" s="22" t="s">
        <v>1423</v>
      </c>
      <c r="AG97" s="43"/>
      <c r="AH97" s="37">
        <v>2</v>
      </c>
      <c r="AI97" s="47" t="s">
        <v>149</v>
      </c>
      <c r="AJ97" s="37" t="s">
        <v>171</v>
      </c>
      <c r="AK97" s="47" t="s">
        <v>148</v>
      </c>
      <c r="AL97" s="40" t="s">
        <v>1424</v>
      </c>
      <c r="AM97" s="47" t="s">
        <v>148</v>
      </c>
      <c r="AN97" s="150">
        <f>IFERROR(SUM(CHOOSE(MATCH(N97,{"Baja";"Media";"Alta"},0),1,2,3),
CHOOSE(MATCH(Q97,{"Baja";"Media";"Alta"},0),1,2,3),
CHOOSE(MATCH(T97,{"Baja";"Media";"Alta"},0),1,2,3),
CHOOSE(MATCH(W97,{"Baja";"Media";"Alta"},0),1,2,3),
CHOOSE(MATCH(AB97,{"Baja";"Media";"Alta"},0),1,2,3),
CHOOSE(MATCH(AD97,{"Baja";"Media";"Alta"},0),1,2,3),
CHOOSE(MATCH(AI97,{"Baja";"Media";"Alta"},0),1,2,3),
CHOOSE(MATCH(AK97,{"Baja";"Media";"Alta"},0),1,2,3),
CHOOSE(MATCH(AM97,{"Baja";"Media";"Alta"},0),1,2,3)),0)</f>
        <v>11</v>
      </c>
      <c r="AO97" s="67" t="str">
        <f t="shared" ref="AO97:AO99" si="37">IF(AN97=0,"Pendiente",IF(AN97&lt;=15,"Bajo",IF(AN97&lt;=21,"Medio","Alto")))</f>
        <v>Bajo</v>
      </c>
      <c r="AP97" s="18"/>
      <c r="AQ97" s="11"/>
      <c r="AR97" s="120" t="e">
        <f>VLOOKUP(A97,#REF!,2,FALSE)</f>
        <v>#REF!</v>
      </c>
      <c r="AS97" s="104" t="s">
        <v>1425</v>
      </c>
      <c r="AT97" s="110" t="s">
        <v>1426</v>
      </c>
      <c r="AU97" s="134" t="s">
        <v>1427</v>
      </c>
      <c r="AV97" s="34">
        <v>1</v>
      </c>
      <c r="AW97" s="95" t="s">
        <v>1428</v>
      </c>
    </row>
    <row r="98" spans="1:55" ht="409.6">
      <c r="A98" s="16" t="s">
        <v>1429</v>
      </c>
      <c r="B98" s="16" t="str">
        <f t="shared" si="35"/>
        <v>tnd-msa-sp-wstecnicos0036</v>
      </c>
      <c r="C98" s="51" t="s">
        <v>1430</v>
      </c>
      <c r="D98" s="16" t="s">
        <v>61</v>
      </c>
      <c r="E98" s="34" t="str">
        <f>VLOOKUP(D98,Tribus!$A$1:$B$33,2,FALSE)</f>
        <v>tnd</v>
      </c>
      <c r="F98" s="42" t="s">
        <v>441</v>
      </c>
      <c r="G98" s="42" t="s">
        <v>238</v>
      </c>
      <c r="H98" s="42" t="s">
        <v>239</v>
      </c>
      <c r="I98" s="36" t="s">
        <v>240</v>
      </c>
      <c r="J98" s="155" t="s">
        <v>1431</v>
      </c>
      <c r="K98" s="156" t="s">
        <v>1341</v>
      </c>
      <c r="L98" s="63" t="s">
        <v>241</v>
      </c>
      <c r="M98" s="37">
        <v>4</v>
      </c>
      <c r="N98" s="47" t="s">
        <v>150</v>
      </c>
      <c r="O98" s="37" t="s">
        <v>101</v>
      </c>
      <c r="P98" s="37">
        <v>1</v>
      </c>
      <c r="Q98" s="47" t="s">
        <v>148</v>
      </c>
      <c r="R98" s="37" t="s">
        <v>1329</v>
      </c>
      <c r="S98" s="37">
        <v>4</v>
      </c>
      <c r="T98" s="47" t="s">
        <v>150</v>
      </c>
      <c r="U98" s="38" t="s">
        <v>1356</v>
      </c>
      <c r="V98" s="22" t="s">
        <v>1394</v>
      </c>
      <c r="W98" s="47" t="s">
        <v>149</v>
      </c>
      <c r="X98" s="46" t="s">
        <v>1432</v>
      </c>
      <c r="Y98" s="46" t="s">
        <v>1433</v>
      </c>
      <c r="Z98" s="46"/>
      <c r="AA98" s="46"/>
      <c r="AB98" s="47" t="s">
        <v>148</v>
      </c>
      <c r="AC98" s="43" t="s">
        <v>677</v>
      </c>
      <c r="AD98" s="47" t="s">
        <v>149</v>
      </c>
      <c r="AE98" s="20"/>
      <c r="AF98" s="20" t="s">
        <v>1423</v>
      </c>
      <c r="AG98" s="43"/>
      <c r="AH98" s="37">
        <v>2</v>
      </c>
      <c r="AI98" s="47" t="s">
        <v>148</v>
      </c>
      <c r="AJ98" s="37" t="s">
        <v>171</v>
      </c>
      <c r="AK98" s="47" t="s">
        <v>148</v>
      </c>
      <c r="AL98" s="60" t="s">
        <v>1434</v>
      </c>
      <c r="AM98" s="47" t="s">
        <v>149</v>
      </c>
      <c r="AN98" s="150">
        <f>IFERROR(SUM(CHOOSE(MATCH(N98,{"Baja";"Media";"Alta"},0),1,2,3),
CHOOSE(MATCH(Q98,{"Baja";"Media";"Alta"},0),1,2,3),
CHOOSE(MATCH(T98,{"Baja";"Media";"Alta"},0),1,2,3),
CHOOSE(MATCH(W98,{"Baja";"Media";"Alta"},0),1,2,3),
CHOOSE(MATCH(AB98,{"Baja";"Media";"Alta"},0),1,2,3),
CHOOSE(MATCH(AD98,{"Baja";"Media";"Alta"},0),1,2,3),
CHOOSE(MATCH(AI98,{"Baja";"Media";"Alta"},0),1,2,3),
CHOOSE(MATCH(AK98,{"Baja";"Media";"Alta"},0),1,2,3),
CHOOSE(MATCH(AM98,{"Baja";"Media";"Alta"},0),1,2,3)),0)</f>
        <v>16</v>
      </c>
      <c r="AO98" s="67" t="str">
        <f t="shared" si="37"/>
        <v>Medio</v>
      </c>
      <c r="AP98" s="18"/>
      <c r="AQ98" s="11"/>
      <c r="AR98" s="120" t="e">
        <f>VLOOKUP(A98,#REF!,2,FALSE)</f>
        <v>#REF!</v>
      </c>
      <c r="AS98" s="104" t="s">
        <v>1435</v>
      </c>
      <c r="AT98" s="110" t="s">
        <v>1436</v>
      </c>
      <c r="AU98" s="134" t="s">
        <v>1437</v>
      </c>
      <c r="AV98" s="34">
        <v>1</v>
      </c>
      <c r="AW98" s="95" t="s">
        <v>1438</v>
      </c>
      <c r="AY98" s="89"/>
    </row>
    <row r="99" spans="1:55" ht="128">
      <c r="A99" s="11" t="s">
        <v>1439</v>
      </c>
      <c r="B99" s="11" t="str">
        <f t="shared" si="35"/>
        <v>tnd-msa-sp-wstecnicos0039</v>
      </c>
      <c r="C99" s="57" t="s">
        <v>1440</v>
      </c>
      <c r="D99" s="16" t="s">
        <v>61</v>
      </c>
      <c r="E99" s="114" t="str">
        <f>VLOOKUP(D99,Tribus!$A$1:$B$33,2,FALSE)</f>
        <v>tnd</v>
      </c>
      <c r="F99" s="12" t="s">
        <v>441</v>
      </c>
      <c r="G99" s="12" t="s">
        <v>238</v>
      </c>
      <c r="H99" s="12" t="s">
        <v>239</v>
      </c>
      <c r="I99" s="151" t="s">
        <v>240</v>
      </c>
      <c r="J99" s="19" t="s">
        <v>1441</v>
      </c>
      <c r="K99" s="19" t="s">
        <v>1341</v>
      </c>
      <c r="L99" s="19" t="s">
        <v>241</v>
      </c>
      <c r="M99" s="15">
        <v>1</v>
      </c>
      <c r="N99" s="14" t="s">
        <v>148</v>
      </c>
      <c r="O99" s="15" t="s">
        <v>101</v>
      </c>
      <c r="P99" s="15">
        <v>1</v>
      </c>
      <c r="Q99" s="14" t="s">
        <v>148</v>
      </c>
      <c r="R99" s="37" t="s">
        <v>1329</v>
      </c>
      <c r="S99" s="15">
        <v>3</v>
      </c>
      <c r="T99" s="14" t="s">
        <v>149</v>
      </c>
      <c r="U99" s="84" t="s">
        <v>242</v>
      </c>
      <c r="V99" s="15"/>
      <c r="W99" s="14" t="s">
        <v>148</v>
      </c>
      <c r="X99" s="15" t="s">
        <v>1442</v>
      </c>
      <c r="Y99" s="15" t="s">
        <v>1062</v>
      </c>
      <c r="Z99" s="15"/>
      <c r="AA99" s="15"/>
      <c r="AB99" s="14" t="s">
        <v>149</v>
      </c>
      <c r="AC99" s="19" t="s">
        <v>1443</v>
      </c>
      <c r="AD99" s="47" t="s">
        <v>149</v>
      </c>
      <c r="AE99" s="19" t="s">
        <v>1444</v>
      </c>
      <c r="AF99" s="19" t="s">
        <v>1443</v>
      </c>
      <c r="AG99" s="15"/>
      <c r="AH99" s="15">
        <v>7</v>
      </c>
      <c r="AI99" s="14" t="s">
        <v>150</v>
      </c>
      <c r="AJ99" s="15" t="s">
        <v>456</v>
      </c>
      <c r="AK99" s="14" t="s">
        <v>148</v>
      </c>
      <c r="AL99" s="60" t="s">
        <v>1445</v>
      </c>
      <c r="AM99" s="14" t="s">
        <v>150</v>
      </c>
      <c r="AN99" s="141">
        <f>IFERROR(SUM(CHOOSE(MATCH(N99,{"Baja";"Media";"Alta"},0),1,2,3),
CHOOSE(MATCH(Q99,{"Baja";"Media";"Alta"},0),1,2,3),
CHOOSE(MATCH(T99,{"Baja";"Media";"Alta"},0),1,2,3),
CHOOSE(MATCH(W99,{"Baja";"Media";"Alta"},0),1,2,3),
CHOOSE(MATCH(AB99,{"Baja";"Media";"Alta"},0),1,2,3),
CHOOSE(MATCH(AD99,{"Baja";"Media";"Alta"},0),1,2,3),
CHOOSE(MATCH(AI99,{"Baja";"Media";"Alta"},0),1,2,3),
CHOOSE(MATCH(AK99,{"Baja";"Media";"Alta"},0),1,2,3),
CHOOSE(MATCH(AM99,{"Baja";"Media";"Alta"},0),1,2,3)),0)</f>
        <v>16</v>
      </c>
      <c r="AO99" s="67" t="str">
        <f t="shared" si="37"/>
        <v>Medio</v>
      </c>
      <c r="AP99" s="18"/>
      <c r="AQ99" s="11"/>
      <c r="AR99" s="120" t="e">
        <f>VLOOKUP(A99,#REF!,2,FALSE)</f>
        <v>#REF!</v>
      </c>
      <c r="AS99" s="57" t="s">
        <v>1446</v>
      </c>
      <c r="AT99" s="124" t="s">
        <v>1447</v>
      </c>
      <c r="AU99" s="57" t="s">
        <v>1448</v>
      </c>
      <c r="AV99" s="34">
        <v>1</v>
      </c>
      <c r="AW99" s="95" t="s">
        <v>1449</v>
      </c>
    </row>
    <row r="100" spans="1:55" ht="192">
      <c r="A100" s="11" t="s">
        <v>1450</v>
      </c>
      <c r="B100" s="11" t="str">
        <f t="shared" ref="B100:B106" si="38">CONCATENATE(LOWER(E100),"-msa-sp-",LOWER(A100))</f>
        <v xml:space="preserve">tia-msa-sp-wstecnicos0063 </v>
      </c>
      <c r="C100" s="57" t="s">
        <v>1451</v>
      </c>
      <c r="D100" s="11" t="s">
        <v>87</v>
      </c>
      <c r="E100" s="114" t="str">
        <f>VLOOKUP(D100,Tribus!$A$1:$B$33,2,FALSE)</f>
        <v>tia</v>
      </c>
      <c r="F100" s="12" t="s">
        <v>441</v>
      </c>
      <c r="G100" s="12" t="s">
        <v>238</v>
      </c>
      <c r="H100" s="12" t="s">
        <v>239</v>
      </c>
      <c r="I100" s="151" t="s">
        <v>240</v>
      </c>
      <c r="J100" s="19" t="s">
        <v>1452</v>
      </c>
      <c r="K100" s="19" t="s">
        <v>1453</v>
      </c>
      <c r="L100" s="19" t="s">
        <v>241</v>
      </c>
      <c r="M100" s="15">
        <v>3</v>
      </c>
      <c r="N100" s="14" t="s">
        <v>150</v>
      </c>
      <c r="O100" s="15" t="s">
        <v>101</v>
      </c>
      <c r="P100" s="15">
        <v>1</v>
      </c>
      <c r="Q100" s="14" t="s">
        <v>148</v>
      </c>
      <c r="R100" s="37" t="s">
        <v>1329</v>
      </c>
      <c r="S100" s="15">
        <v>3</v>
      </c>
      <c r="T100" s="14" t="s">
        <v>149</v>
      </c>
      <c r="U100" s="84" t="s">
        <v>242</v>
      </c>
      <c r="V100" s="15"/>
      <c r="W100" s="14" t="s">
        <v>148</v>
      </c>
      <c r="X100" s="15" t="s">
        <v>1454</v>
      </c>
      <c r="Y100" s="15" t="s">
        <v>1182</v>
      </c>
      <c r="Z100" s="15"/>
      <c r="AA100" s="15"/>
      <c r="AB100" s="14" t="s">
        <v>150</v>
      </c>
      <c r="AC100" s="19" t="s">
        <v>1455</v>
      </c>
      <c r="AD100" s="47" t="s">
        <v>149</v>
      </c>
      <c r="AE100" s="19" t="s">
        <v>1456</v>
      </c>
      <c r="AF100" s="19" t="s">
        <v>1457</v>
      </c>
      <c r="AG100" s="19" t="s">
        <v>1458</v>
      </c>
      <c r="AH100" s="15">
        <v>15</v>
      </c>
      <c r="AI100" s="14" t="s">
        <v>150</v>
      </c>
      <c r="AJ100" s="15" t="s">
        <v>456</v>
      </c>
      <c r="AK100" s="14" t="s">
        <v>148</v>
      </c>
      <c r="AL100" s="60" t="s">
        <v>1459</v>
      </c>
      <c r="AM100" s="14" t="s">
        <v>148</v>
      </c>
      <c r="AN100" s="141">
        <f>IFERROR(SUM(CHOOSE(MATCH(N100,{"Baja";"Media";"Alta"},0),1,2,3),
CHOOSE(MATCH(Q100,{"Baja";"Media";"Alta"},0),1,2,3),
CHOOSE(MATCH(T100,{"Baja";"Media";"Alta"},0),1,2,3),
CHOOSE(MATCH(W100,{"Baja";"Media";"Alta"},0),1,2,3),
CHOOSE(MATCH(AB100,{"Baja";"Media";"Alta"},0),1,2,3),
CHOOSE(MATCH(AD100,{"Baja";"Media";"Alta"},0),1,2,3),
CHOOSE(MATCH(AI100,{"Baja";"Media";"Alta"},0),1,2,3),
CHOOSE(MATCH(AK100,{"Baja";"Media";"Alta"},0),1,2,3),
CHOOSE(MATCH(AM100,{"Baja";"Media";"Alta"},0),1,2,3)),0)</f>
        <v>17</v>
      </c>
      <c r="AO100" s="67" t="str">
        <f t="shared" ref="AO100:AO106" si="39">IF(AN100=0,"Pendiente",IF(AN100&lt;=15,"Bajo",IF(AN100&lt;=21,"Medio","Alto")))</f>
        <v>Medio</v>
      </c>
      <c r="AP100" s="18"/>
      <c r="AQ100" s="11"/>
      <c r="AR100" s="120" t="e">
        <f>VLOOKUP(A100,#REF!,2,FALSE)</f>
        <v>#REF!</v>
      </c>
      <c r="AS100" s="57" t="s">
        <v>1460</v>
      </c>
      <c r="AT100" s="143" t="s">
        <v>1461</v>
      </c>
      <c r="AU100" s="57" t="s">
        <v>1462</v>
      </c>
      <c r="AV100" s="34">
        <v>1</v>
      </c>
      <c r="AW100" s="95" t="s">
        <v>1463</v>
      </c>
    </row>
    <row r="101" spans="1:55" s="44" customFormat="1" ht="169">
      <c r="A101" s="16" t="s">
        <v>1464</v>
      </c>
      <c r="B101" s="16" t="str">
        <f t="shared" si="38"/>
        <v>tnd-msa-sp-wstecnicos0070</v>
      </c>
      <c r="C101" s="51" t="s">
        <v>1465</v>
      </c>
      <c r="D101" s="16" t="s">
        <v>61</v>
      </c>
      <c r="E101" s="34" t="str">
        <f>VLOOKUP(D101,Tribus!$A$1:$B$33,2,FALSE)</f>
        <v>tnd</v>
      </c>
      <c r="F101" s="42" t="s">
        <v>441</v>
      </c>
      <c r="G101" s="42" t="s">
        <v>238</v>
      </c>
      <c r="H101" s="42" t="s">
        <v>239</v>
      </c>
      <c r="I101" s="36" t="s">
        <v>240</v>
      </c>
      <c r="J101" s="157" t="s">
        <v>1466</v>
      </c>
      <c r="K101" s="158" t="s">
        <v>1467</v>
      </c>
      <c r="L101" s="116" t="s">
        <v>241</v>
      </c>
      <c r="M101" s="34">
        <v>1</v>
      </c>
      <c r="N101" s="42" t="s">
        <v>148</v>
      </c>
      <c r="O101" s="34" t="s">
        <v>101</v>
      </c>
      <c r="P101" s="34">
        <v>1</v>
      </c>
      <c r="Q101" s="42" t="s">
        <v>148</v>
      </c>
      <c r="R101" s="34" t="s">
        <v>1329</v>
      </c>
      <c r="S101" s="34">
        <v>1</v>
      </c>
      <c r="T101" s="42" t="s">
        <v>148</v>
      </c>
      <c r="U101" s="38" t="s">
        <v>242</v>
      </c>
      <c r="V101" s="38"/>
      <c r="W101" s="42" t="s">
        <v>148</v>
      </c>
      <c r="X101" s="16" t="s">
        <v>1468</v>
      </c>
      <c r="Y101" s="16" t="s">
        <v>1233</v>
      </c>
      <c r="Z101" s="16"/>
      <c r="AA101" s="16"/>
      <c r="AB101" s="42" t="s">
        <v>148</v>
      </c>
      <c r="AC101" s="16" t="s">
        <v>677</v>
      </c>
      <c r="AD101" s="42" t="s">
        <v>149</v>
      </c>
      <c r="AE101" s="51" t="s">
        <v>59</v>
      </c>
      <c r="AF101" s="51" t="s">
        <v>1469</v>
      </c>
      <c r="AG101" s="16"/>
      <c r="AH101" s="34">
        <v>4</v>
      </c>
      <c r="AI101" s="42" t="s">
        <v>150</v>
      </c>
      <c r="AJ101" s="34" t="s">
        <v>171</v>
      </c>
      <c r="AK101" s="42" t="s">
        <v>148</v>
      </c>
      <c r="AL101" s="117" t="s">
        <v>1470</v>
      </c>
      <c r="AM101" s="42" t="s">
        <v>149</v>
      </c>
      <c r="AN101" s="150">
        <f>IFERROR(SUM(CHOOSE(MATCH(N101,{"Baja";"Media";"Alta"},0),1,2,3),
CHOOSE(MATCH(Q101,{"Baja";"Media";"Alta"},0),1,2,3),
CHOOSE(MATCH(T101,{"Baja";"Media";"Alta"},0),1,2,3),
CHOOSE(MATCH(W101,{"Baja";"Media";"Alta"},0),1,2,3),
CHOOSE(MATCH(AB101,{"Baja";"Media";"Alta"},0),1,2,3),
CHOOSE(MATCH(AD101,{"Baja";"Media";"Alta"},0),1,2,3),
CHOOSE(MATCH(AI101,{"Baja";"Media";"Alta"},0),1,2,3),
CHOOSE(MATCH(AK101,{"Baja";"Media";"Alta"},0),1,2,3),
CHOOSE(MATCH(AM101,{"Baja";"Media";"Alta"},0),1,2,3)),0)</f>
        <v>13</v>
      </c>
      <c r="AO101" s="67" t="str">
        <f t="shared" si="39"/>
        <v>Bajo</v>
      </c>
      <c r="AP101" s="18"/>
      <c r="AQ101" s="51" t="s">
        <v>1471</v>
      </c>
      <c r="AR101" s="120" t="e">
        <f>VLOOKUP(A101,#REF!,2,FALSE)</f>
        <v>#REF!</v>
      </c>
      <c r="AS101" s="118" t="s">
        <v>1472</v>
      </c>
      <c r="AT101" s="104" t="s">
        <v>1473</v>
      </c>
      <c r="AU101" s="136" t="s">
        <v>1474</v>
      </c>
      <c r="AV101" s="34">
        <v>1</v>
      </c>
      <c r="AW101" s="126" t="s">
        <v>1475</v>
      </c>
      <c r="AX101"/>
    </row>
    <row r="102" spans="1:55" ht="128">
      <c r="A102" s="11" t="s">
        <v>1476</v>
      </c>
      <c r="B102" s="11" t="str">
        <f t="shared" si="38"/>
        <v>tnd-msa-sp-wstecnicos0076</v>
      </c>
      <c r="C102" s="57" t="s">
        <v>1477</v>
      </c>
      <c r="D102" s="16" t="s">
        <v>61</v>
      </c>
      <c r="E102" s="114" t="str">
        <f>VLOOKUP(D102,Tribus!$A$1:$B$33,2,FALSE)</f>
        <v>tnd</v>
      </c>
      <c r="F102" s="12" t="s">
        <v>441</v>
      </c>
      <c r="G102" s="12" t="s">
        <v>238</v>
      </c>
      <c r="H102" s="12" t="s">
        <v>239</v>
      </c>
      <c r="I102" s="151" t="s">
        <v>240</v>
      </c>
      <c r="J102" s="57" t="s">
        <v>1478</v>
      </c>
      <c r="K102" s="57" t="s">
        <v>1479</v>
      </c>
      <c r="L102" s="57" t="s">
        <v>241</v>
      </c>
      <c r="M102" s="11">
        <v>1</v>
      </c>
      <c r="N102" s="12" t="s">
        <v>148</v>
      </c>
      <c r="O102" s="57" t="s">
        <v>1480</v>
      </c>
      <c r="P102" s="11">
        <v>2</v>
      </c>
      <c r="Q102" s="12" t="s">
        <v>149</v>
      </c>
      <c r="R102" s="11" t="s">
        <v>1329</v>
      </c>
      <c r="S102" s="11">
        <v>1</v>
      </c>
      <c r="T102" s="12" t="s">
        <v>148</v>
      </c>
      <c r="U102" s="38" t="s">
        <v>242</v>
      </c>
      <c r="V102" s="38"/>
      <c r="W102" s="12" t="s">
        <v>148</v>
      </c>
      <c r="X102" s="11" t="s">
        <v>1481</v>
      </c>
      <c r="Y102" s="11" t="s">
        <v>1482</v>
      </c>
      <c r="Z102" s="11"/>
      <c r="AA102" s="11"/>
      <c r="AB102" s="12" t="s">
        <v>149</v>
      </c>
      <c r="AC102" s="11" t="s">
        <v>677</v>
      </c>
      <c r="AD102" s="42" t="s">
        <v>149</v>
      </c>
      <c r="AE102" s="57" t="s">
        <v>61</v>
      </c>
      <c r="AF102" s="57" t="s">
        <v>1483</v>
      </c>
      <c r="AG102" s="11" t="s">
        <v>171</v>
      </c>
      <c r="AH102" s="11">
        <v>8</v>
      </c>
      <c r="AI102" s="12" t="s">
        <v>150</v>
      </c>
      <c r="AJ102" s="11" t="s">
        <v>171</v>
      </c>
      <c r="AK102" s="12" t="s">
        <v>148</v>
      </c>
      <c r="AL102" s="18" t="s">
        <v>1484</v>
      </c>
      <c r="AM102" s="12" t="s">
        <v>148</v>
      </c>
      <c r="AN102" s="141">
        <f>IFERROR(SUM(CHOOSE(MATCH(N102,{"Baja";"Media";"Alta"},0),1,2,3),
CHOOSE(MATCH(Q102,{"Baja";"Media";"Alta"},0),1,2,3),
CHOOSE(MATCH(T102,{"Baja";"Media";"Alta"},0),1,2,3),
CHOOSE(MATCH(W102,{"Baja";"Media";"Alta"},0),1,2,3),
CHOOSE(MATCH(AB102,{"Baja";"Media";"Alta"},0),1,2,3),
CHOOSE(MATCH(AD102,{"Baja";"Media";"Alta"},0),1,2,3),
CHOOSE(MATCH(AI102,{"Baja";"Media";"Alta"},0),1,2,3),
CHOOSE(MATCH(AK102,{"Baja";"Media";"Alta"},0),1,2,3),
CHOOSE(MATCH(AM102,{"Baja";"Media";"Alta"},0),1,2,3)),0)</f>
        <v>14</v>
      </c>
      <c r="AO102" s="67" t="str">
        <f t="shared" si="39"/>
        <v>Bajo</v>
      </c>
      <c r="AP102" s="18"/>
      <c r="AQ102" s="11"/>
      <c r="AR102" s="120" t="e">
        <f>VLOOKUP(A102,#REF!,2,FALSE)</f>
        <v>#REF!</v>
      </c>
      <c r="AS102" s="137" t="s">
        <v>1485</v>
      </c>
      <c r="AT102" s="144" t="s">
        <v>1486</v>
      </c>
      <c r="AU102" s="137" t="s">
        <v>1487</v>
      </c>
      <c r="AV102" s="34">
        <v>1</v>
      </c>
      <c r="AW102" s="95" t="s">
        <v>1488</v>
      </c>
      <c r="BA102">
        <f>39*15</f>
        <v>585</v>
      </c>
      <c r="BB102">
        <v>100</v>
      </c>
    </row>
    <row r="103" spans="1:55" ht="64">
      <c r="A103" s="11" t="s">
        <v>1489</v>
      </c>
      <c r="B103" s="11" t="str">
        <f t="shared" si="38"/>
        <v>tnd-msa-sp-wstecnicos0077</v>
      </c>
      <c r="C103" s="57" t="s">
        <v>1490</v>
      </c>
      <c r="D103" s="11" t="s">
        <v>61</v>
      </c>
      <c r="E103" s="114" t="str">
        <f>VLOOKUP(D103,Tribus!$A$1:$B$33,2,FALSE)</f>
        <v>tnd</v>
      </c>
      <c r="F103" s="12" t="s">
        <v>441</v>
      </c>
      <c r="G103" s="12" t="s">
        <v>238</v>
      </c>
      <c r="H103" s="12" t="s">
        <v>239</v>
      </c>
      <c r="I103" s="151" t="s">
        <v>240</v>
      </c>
      <c r="J103" s="15" t="s">
        <v>1491</v>
      </c>
      <c r="K103" s="15" t="s">
        <v>1492</v>
      </c>
      <c r="L103" s="19" t="s">
        <v>1493</v>
      </c>
      <c r="M103" s="15">
        <v>1</v>
      </c>
      <c r="N103" s="14" t="s">
        <v>148</v>
      </c>
      <c r="O103" s="15" t="s">
        <v>1494</v>
      </c>
      <c r="P103" s="15">
        <v>1</v>
      </c>
      <c r="Q103" s="14" t="s">
        <v>148</v>
      </c>
      <c r="R103" s="15" t="s">
        <v>1329</v>
      </c>
      <c r="S103" s="15">
        <v>1</v>
      </c>
      <c r="T103" s="14" t="s">
        <v>150</v>
      </c>
      <c r="U103" s="84" t="s">
        <v>242</v>
      </c>
      <c r="V103" s="15"/>
      <c r="W103" s="14" t="s">
        <v>148</v>
      </c>
      <c r="X103" s="15" t="s">
        <v>1495</v>
      </c>
      <c r="Y103" s="15" t="s">
        <v>1496</v>
      </c>
      <c r="Z103" s="15"/>
      <c r="AA103" s="15"/>
      <c r="AB103" s="14" t="s">
        <v>148</v>
      </c>
      <c r="AC103" s="15" t="s">
        <v>514</v>
      </c>
      <c r="AD103" s="47" t="s">
        <v>149</v>
      </c>
      <c r="AE103" s="19"/>
      <c r="AF103" s="15" t="s">
        <v>514</v>
      </c>
      <c r="AG103" s="15"/>
      <c r="AH103" s="15">
        <v>1</v>
      </c>
      <c r="AI103" s="14" t="s">
        <v>148</v>
      </c>
      <c r="AJ103" s="15" t="s">
        <v>456</v>
      </c>
      <c r="AK103" s="14" t="s">
        <v>148</v>
      </c>
      <c r="AL103" s="39" t="s">
        <v>1497</v>
      </c>
      <c r="AM103" s="14" t="s">
        <v>148</v>
      </c>
      <c r="AN103" s="141">
        <f>IFERROR(SUM(CHOOSE(MATCH(N103,{"Baja";"Media";"Alta"},0),1,2,3),
CHOOSE(MATCH(Q103,{"Baja";"Media";"Alta"},0),1,2,3),
CHOOSE(MATCH(T103,{"Baja";"Media";"Alta"},0),1,2,3),
CHOOSE(MATCH(W103,{"Baja";"Media";"Alta"},0),1,2,3),
CHOOSE(MATCH(AB103,{"Baja";"Media";"Alta"},0),1,2,3),
CHOOSE(MATCH(AD103,{"Baja";"Media";"Alta"},0),1,2,3),
CHOOSE(MATCH(AI103,{"Baja";"Media";"Alta"},0),1,2,3),
CHOOSE(MATCH(AK103,{"Baja";"Media";"Alta"},0),1,2,3),
CHOOSE(MATCH(AM103,{"Baja";"Media";"Alta"},0),1,2,3)),0)</f>
        <v>12</v>
      </c>
      <c r="AO103" s="67" t="str">
        <f t="shared" si="39"/>
        <v>Bajo</v>
      </c>
      <c r="AP103" s="18"/>
      <c r="AQ103" s="11" t="s">
        <v>1498</v>
      </c>
      <c r="AR103" s="120" t="e">
        <f>VLOOKUP(A103,#REF!,2,FALSE)</f>
        <v>#REF!</v>
      </c>
      <c r="AS103" s="57" t="s">
        <v>1499</v>
      </c>
      <c r="AT103" s="124" t="s">
        <v>1500</v>
      </c>
      <c r="AU103" s="57" t="s">
        <v>1501</v>
      </c>
      <c r="AV103" s="34">
        <v>1</v>
      </c>
      <c r="AW103" s="95" t="s">
        <v>1502</v>
      </c>
    </row>
    <row r="104" spans="1:55" ht="260">
      <c r="A104" s="16" t="s">
        <v>1503</v>
      </c>
      <c r="B104" s="16" t="str">
        <f t="shared" si="38"/>
        <v>csg-msa-sp-wsclientes0010</v>
      </c>
      <c r="C104" s="51" t="s">
        <v>1504</v>
      </c>
      <c r="D104" s="16" t="s">
        <v>65</v>
      </c>
      <c r="E104" s="34" t="str">
        <f>VLOOKUP(D104,Tribus!$A$1:$B$33,2,FALSE)</f>
        <v>csg</v>
      </c>
      <c r="F104" s="42" t="s">
        <v>441</v>
      </c>
      <c r="G104" s="42" t="s">
        <v>238</v>
      </c>
      <c r="H104" s="42" t="s">
        <v>239</v>
      </c>
      <c r="I104" s="36" t="s">
        <v>240</v>
      </c>
      <c r="J104" s="152" t="s">
        <v>1505</v>
      </c>
      <c r="K104" s="154" t="s">
        <v>1341</v>
      </c>
      <c r="L104" s="54" t="s">
        <v>241</v>
      </c>
      <c r="M104" s="37">
        <v>4</v>
      </c>
      <c r="N104" s="47" t="s">
        <v>149</v>
      </c>
      <c r="O104" s="37" t="s">
        <v>101</v>
      </c>
      <c r="P104" s="37">
        <v>1</v>
      </c>
      <c r="Q104" s="47" t="s">
        <v>148</v>
      </c>
      <c r="R104" s="37" t="s">
        <v>1329</v>
      </c>
      <c r="S104" s="37">
        <v>2</v>
      </c>
      <c r="T104" s="47" t="s">
        <v>149</v>
      </c>
      <c r="U104" s="38" t="s">
        <v>1356</v>
      </c>
      <c r="V104" s="22" t="s">
        <v>1506</v>
      </c>
      <c r="W104" s="47" t="s">
        <v>149</v>
      </c>
      <c r="X104" s="46" t="s">
        <v>1507</v>
      </c>
      <c r="Y104" s="46" t="s">
        <v>1508</v>
      </c>
      <c r="Z104" s="46"/>
      <c r="AA104" s="46"/>
      <c r="AB104" s="47" t="s">
        <v>149</v>
      </c>
      <c r="AC104" s="43" t="s">
        <v>677</v>
      </c>
      <c r="AD104" s="47" t="s">
        <v>149</v>
      </c>
      <c r="AE104" s="20"/>
      <c r="AF104" s="22" t="s">
        <v>1509</v>
      </c>
      <c r="AG104" s="43"/>
      <c r="AH104" s="37">
        <v>5</v>
      </c>
      <c r="AI104" s="123" t="s">
        <v>150</v>
      </c>
      <c r="AJ104" s="37" t="s">
        <v>171</v>
      </c>
      <c r="AK104" s="47" t="s">
        <v>148</v>
      </c>
      <c r="AL104" s="60" t="s">
        <v>1510</v>
      </c>
      <c r="AM104" s="47" t="s">
        <v>149</v>
      </c>
      <c r="AN104" s="150">
        <f>IFERROR(SUM(CHOOSE(MATCH(N104,{"Baja";"Media";"Alta"},0),1,2,3),
CHOOSE(MATCH(Q104,{"Baja";"Media";"Alta"},0),1,2,3),
CHOOSE(MATCH(T104,{"Baja";"Media";"Alta"},0),1,2,3),
CHOOSE(MATCH(W104,{"Baja";"Media";"Alta"},0),1,2,3),
CHOOSE(MATCH(AB104,{"Baja";"Media";"Alta"},0),1,2,3),
CHOOSE(MATCH(AD104,{"Baja";"Media";"Alta"},0),1,2,3),
CHOOSE(MATCH(AI104,{"Baja";"Media";"Alta"},0),1,2,3),
CHOOSE(MATCH(AK104,{"Baja";"Media";"Alta"},0),1,2,3),
CHOOSE(MATCH(AM104,{"Baja";"Media";"Alta"},0),1,2,3)),0)</f>
        <v>17</v>
      </c>
      <c r="AO104" s="67" t="str">
        <f t="shared" si="39"/>
        <v>Medio</v>
      </c>
      <c r="AP104" s="18"/>
      <c r="AQ104" s="11"/>
      <c r="AR104" s="120" t="e">
        <f>VLOOKUP(A104,#REF!,2,FALSE)</f>
        <v>#REF!</v>
      </c>
      <c r="AS104" s="104" t="s">
        <v>1511</v>
      </c>
      <c r="AT104" s="110" t="s">
        <v>1512</v>
      </c>
      <c r="AU104" s="134" t="s">
        <v>1513</v>
      </c>
      <c r="AV104" s="34">
        <v>1</v>
      </c>
      <c r="AW104" s="95" t="s">
        <v>1514</v>
      </c>
    </row>
    <row r="105" spans="1:55" ht="169">
      <c r="A105" s="16" t="s">
        <v>1515</v>
      </c>
      <c r="B105" s="16" t="str">
        <f t="shared" si="38"/>
        <v>tpr-msa-sp-wsclientes0023</v>
      </c>
      <c r="C105" s="51" t="s">
        <v>1516</v>
      </c>
      <c r="D105" s="16" t="s">
        <v>59</v>
      </c>
      <c r="E105" s="34" t="str">
        <f>VLOOKUP(D105,Tribus!$A$1:$B$33,2,FALSE)</f>
        <v>tpr</v>
      </c>
      <c r="F105" s="42" t="s">
        <v>441</v>
      </c>
      <c r="G105" s="42" t="s">
        <v>238</v>
      </c>
      <c r="H105" s="42" t="s">
        <v>239</v>
      </c>
      <c r="I105" s="36" t="s">
        <v>240</v>
      </c>
      <c r="J105" s="155" t="s">
        <v>1517</v>
      </c>
      <c r="K105" s="156" t="s">
        <v>1518</v>
      </c>
      <c r="L105" s="63" t="s">
        <v>241</v>
      </c>
      <c r="M105" s="37">
        <v>1</v>
      </c>
      <c r="N105" s="47" t="s">
        <v>148</v>
      </c>
      <c r="O105" s="37" t="s">
        <v>101</v>
      </c>
      <c r="P105" s="37">
        <v>1</v>
      </c>
      <c r="Q105" s="47" t="s">
        <v>148</v>
      </c>
      <c r="R105" s="37" t="s">
        <v>1329</v>
      </c>
      <c r="S105" s="37">
        <v>1</v>
      </c>
      <c r="T105" s="47" t="s">
        <v>148</v>
      </c>
      <c r="U105" s="38" t="s">
        <v>242</v>
      </c>
      <c r="V105" s="38"/>
      <c r="W105" s="47" t="s">
        <v>148</v>
      </c>
      <c r="X105" s="43" t="s">
        <v>1519</v>
      </c>
      <c r="Y105" s="43" t="s">
        <v>1520</v>
      </c>
      <c r="Z105" s="43"/>
      <c r="AA105" s="43"/>
      <c r="AB105" s="47" t="s">
        <v>148</v>
      </c>
      <c r="AC105" s="43" t="s">
        <v>677</v>
      </c>
      <c r="AD105" s="47" t="s">
        <v>149</v>
      </c>
      <c r="AE105" s="20"/>
      <c r="AF105" s="20" t="s">
        <v>1521</v>
      </c>
      <c r="AG105" s="43"/>
      <c r="AH105" s="37">
        <v>3</v>
      </c>
      <c r="AI105" s="123" t="s">
        <v>149</v>
      </c>
      <c r="AJ105" s="37" t="s">
        <v>171</v>
      </c>
      <c r="AK105" s="47" t="s">
        <v>148</v>
      </c>
      <c r="AL105" s="40" t="s">
        <v>433</v>
      </c>
      <c r="AM105" s="47" t="s">
        <v>148</v>
      </c>
      <c r="AN105" s="150">
        <f>IFERROR(SUM(CHOOSE(MATCH(N105,{"Baja";"Media";"Alta"},0),1,2,3),
CHOOSE(MATCH(Q105,{"Baja";"Media";"Alta"},0),1,2,3),
CHOOSE(MATCH(T105,{"Baja";"Media";"Alta"},0),1,2,3),
CHOOSE(MATCH(W105,{"Baja";"Media";"Alta"},0),1,2,3),
CHOOSE(MATCH(AB105,{"Baja";"Media";"Alta"},0),1,2,3),
CHOOSE(MATCH(AD105,{"Baja";"Media";"Alta"},0),1,2,3),
CHOOSE(MATCH(AI105,{"Baja";"Media";"Alta"},0),1,2,3),
CHOOSE(MATCH(AK105,{"Baja";"Media";"Alta"},0),1,2,3),
CHOOSE(MATCH(AM105,{"Baja";"Media";"Alta"},0),1,2,3)),0)</f>
        <v>11</v>
      </c>
      <c r="AO105" s="67" t="str">
        <f t="shared" si="39"/>
        <v>Bajo</v>
      </c>
      <c r="AP105" s="18"/>
      <c r="AQ105" s="16"/>
      <c r="AR105" s="120" t="e">
        <f>VLOOKUP(A105,#REF!,2,FALSE)</f>
        <v>#REF!</v>
      </c>
      <c r="AS105" s="104" t="s">
        <v>1522</v>
      </c>
      <c r="AT105" s="110" t="s">
        <v>1523</v>
      </c>
      <c r="AU105" s="134" t="s">
        <v>1524</v>
      </c>
      <c r="AV105" s="34">
        <v>1</v>
      </c>
      <c r="AW105" s="95" t="s">
        <v>1525</v>
      </c>
    </row>
    <row r="106" spans="1:55" ht="182">
      <c r="A106" s="16" t="s">
        <v>1526</v>
      </c>
      <c r="B106" s="16" t="str">
        <f t="shared" si="38"/>
        <v>csg-msa-sp-wsclientes0026</v>
      </c>
      <c r="C106" s="51" t="s">
        <v>1527</v>
      </c>
      <c r="D106" s="16" t="s">
        <v>65</v>
      </c>
      <c r="E106" s="34" t="str">
        <f>VLOOKUP(D106,Tribus!$A$1:$B$33,2,FALSE)</f>
        <v>csg</v>
      </c>
      <c r="F106" s="42" t="s">
        <v>441</v>
      </c>
      <c r="G106" s="42" t="s">
        <v>238</v>
      </c>
      <c r="H106" s="42" t="s">
        <v>239</v>
      </c>
      <c r="I106" s="36" t="s">
        <v>240</v>
      </c>
      <c r="J106" s="152" t="s">
        <v>1528</v>
      </c>
      <c r="K106" s="156" t="s">
        <v>1529</v>
      </c>
      <c r="L106" s="63" t="s">
        <v>241</v>
      </c>
      <c r="M106" s="37">
        <v>1</v>
      </c>
      <c r="N106" s="47" t="s">
        <v>148</v>
      </c>
      <c r="O106" s="37" t="s">
        <v>101</v>
      </c>
      <c r="P106" s="37">
        <v>1</v>
      </c>
      <c r="Q106" s="47" t="s">
        <v>148</v>
      </c>
      <c r="R106" s="37" t="s">
        <v>1329</v>
      </c>
      <c r="S106" s="37">
        <v>1</v>
      </c>
      <c r="T106" s="47" t="s">
        <v>148</v>
      </c>
      <c r="U106" s="38" t="s">
        <v>242</v>
      </c>
      <c r="V106" s="38"/>
      <c r="W106" s="47" t="s">
        <v>148</v>
      </c>
      <c r="X106" s="46" t="s">
        <v>1530</v>
      </c>
      <c r="Y106" s="46" t="s">
        <v>1531</v>
      </c>
      <c r="Z106" s="46"/>
      <c r="AA106" s="46"/>
      <c r="AB106" s="47" t="s">
        <v>148</v>
      </c>
      <c r="AC106" s="43" t="s">
        <v>677</v>
      </c>
      <c r="AD106" s="47" t="s">
        <v>149</v>
      </c>
      <c r="AE106" s="20"/>
      <c r="AF106" s="20" t="s">
        <v>1532</v>
      </c>
      <c r="AG106" s="43"/>
      <c r="AH106" s="37">
        <v>4</v>
      </c>
      <c r="AI106" s="123" t="s">
        <v>149</v>
      </c>
      <c r="AJ106" s="37" t="s">
        <v>171</v>
      </c>
      <c r="AK106" s="47" t="s">
        <v>148</v>
      </c>
      <c r="AL106" s="60" t="s">
        <v>1533</v>
      </c>
      <c r="AM106" s="47" t="s">
        <v>150</v>
      </c>
      <c r="AN106" s="150">
        <f>IFERROR(SUM(CHOOSE(MATCH(N106,{"Baja";"Media";"Alta"},0),1,2,3),
CHOOSE(MATCH(Q106,{"Baja";"Media";"Alta"},0),1,2,3),
CHOOSE(MATCH(T106,{"Baja";"Media";"Alta"},0),1,2,3),
CHOOSE(MATCH(W106,{"Baja";"Media";"Alta"},0),1,2,3),
CHOOSE(MATCH(AB106,{"Baja";"Media";"Alta"},0),1,2,3),
CHOOSE(MATCH(AD106,{"Baja";"Media";"Alta"},0),1,2,3),
CHOOSE(MATCH(AI106,{"Baja";"Media";"Alta"},0),1,2,3),
CHOOSE(MATCH(AK106,{"Baja";"Media";"Alta"},0),1,2,3),
CHOOSE(MATCH(AM106,{"Baja";"Media";"Alta"},0),1,2,3)),0)</f>
        <v>13</v>
      </c>
      <c r="AO106" s="67" t="str">
        <f t="shared" si="39"/>
        <v>Bajo</v>
      </c>
      <c r="AP106" s="18"/>
      <c r="AQ106" s="11"/>
      <c r="AR106" s="120" t="e">
        <f>VLOOKUP(A106,#REF!,2,FALSE)</f>
        <v>#REF!</v>
      </c>
      <c r="AS106" s="104" t="s">
        <v>1534</v>
      </c>
      <c r="AT106" s="110" t="s">
        <v>1535</v>
      </c>
      <c r="AU106" s="134" t="s">
        <v>1536</v>
      </c>
      <c r="AV106" s="34">
        <v>1</v>
      </c>
      <c r="AW106" s="95" t="s">
        <v>1537</v>
      </c>
    </row>
    <row r="107" spans="1:55" s="44" customFormat="1" ht="169">
      <c r="A107" s="16" t="s">
        <v>923</v>
      </c>
      <c r="B107" s="16" t="s">
        <v>1538</v>
      </c>
      <c r="C107" s="51" t="s">
        <v>1539</v>
      </c>
      <c r="D107" s="16" t="s">
        <v>61</v>
      </c>
      <c r="E107" s="34" t="str">
        <f>VLOOKUP(D107,Tribus!$A$1:$B$33,2,FALSE)</f>
        <v>tnd</v>
      </c>
      <c r="F107" s="42" t="s">
        <v>441</v>
      </c>
      <c r="G107" s="42" t="s">
        <v>238</v>
      </c>
      <c r="H107" s="42" t="s">
        <v>239</v>
      </c>
      <c r="I107" s="36" t="s">
        <v>240</v>
      </c>
      <c r="J107" s="159" t="s">
        <v>1540</v>
      </c>
      <c r="K107" s="158" t="s">
        <v>1541</v>
      </c>
      <c r="L107" s="116" t="s">
        <v>241</v>
      </c>
      <c r="M107" s="34">
        <v>1</v>
      </c>
      <c r="N107" s="42" t="s">
        <v>148</v>
      </c>
      <c r="O107" s="34" t="s">
        <v>101</v>
      </c>
      <c r="P107" s="34">
        <v>1</v>
      </c>
      <c r="Q107" s="42" t="s">
        <v>148</v>
      </c>
      <c r="R107" s="34" t="s">
        <v>1329</v>
      </c>
      <c r="S107" s="34">
        <v>1</v>
      </c>
      <c r="T107" s="42" t="s">
        <v>148</v>
      </c>
      <c r="U107" s="38" t="s">
        <v>242</v>
      </c>
      <c r="V107" s="38"/>
      <c r="W107" s="42" t="s">
        <v>148</v>
      </c>
      <c r="X107" s="16" t="s">
        <v>1542</v>
      </c>
      <c r="Y107" s="16" t="s">
        <v>1543</v>
      </c>
      <c r="Z107" s="16"/>
      <c r="AA107" s="16"/>
      <c r="AB107" s="42" t="s">
        <v>148</v>
      </c>
      <c r="AC107" s="16" t="s">
        <v>677</v>
      </c>
      <c r="AD107" s="42" t="s">
        <v>149</v>
      </c>
      <c r="AE107" s="51"/>
      <c r="AF107" s="51" t="s">
        <v>1544</v>
      </c>
      <c r="AG107" s="16"/>
      <c r="AH107" s="34">
        <v>5</v>
      </c>
      <c r="AI107" s="42" t="s">
        <v>150</v>
      </c>
      <c r="AJ107" s="34" t="s">
        <v>171</v>
      </c>
      <c r="AK107" s="42" t="s">
        <v>148</v>
      </c>
      <c r="AL107" s="117" t="s">
        <v>1545</v>
      </c>
      <c r="AM107" s="42" t="s">
        <v>148</v>
      </c>
      <c r="AN107" s="150">
        <f>IFERROR(SUM(CHOOSE(MATCH(N107,{"Baja";"Media";"Alta"},0),1,2,3),
CHOOSE(MATCH(Q107,{"Baja";"Media";"Alta"},0),1,2,3),
CHOOSE(MATCH(T107,{"Baja";"Media";"Alta"},0),1,2,3),
CHOOSE(MATCH(W107,{"Baja";"Media";"Alta"},0),1,2,3),
CHOOSE(MATCH(AB107,{"Baja";"Media";"Alta"},0),1,2,3),
CHOOSE(MATCH(AD107,{"Baja";"Media";"Alta"},0),1,2,3),
CHOOSE(MATCH(AI107,{"Baja";"Media";"Alta"},0),1,2,3),
CHOOSE(MATCH(AK107,{"Baja";"Media";"Alta"},0),1,2,3),
CHOOSE(MATCH(AM107,{"Baja";"Media";"Alta"},0),1,2,3)),0)</f>
        <v>12</v>
      </c>
      <c r="AO107" s="67" t="str">
        <f t="shared" ref="AO107" si="40">IF(AN107=0,"Pendiente",IF(AN107&lt;=15,"Bajo",IF(AN107&lt;=21,"Medio","Alto")))</f>
        <v>Bajo</v>
      </c>
      <c r="AP107" s="18"/>
      <c r="AQ107" s="16"/>
      <c r="AR107" s="120" t="e">
        <f>VLOOKUP(A107,#REF!,2,FALSE)</f>
        <v>#REF!</v>
      </c>
      <c r="AS107" s="119" t="s">
        <v>1546</v>
      </c>
      <c r="AT107" s="145" t="s">
        <v>1547</v>
      </c>
      <c r="AU107" s="136" t="s">
        <v>1548</v>
      </c>
      <c r="AV107" s="34">
        <v>1</v>
      </c>
      <c r="AW107" s="126" t="s">
        <v>937</v>
      </c>
      <c r="AX107"/>
      <c r="BA107" s="44">
        <v>528</v>
      </c>
      <c r="BC107" s="44">
        <f>BA107*BB102/BA102</f>
        <v>90.256410256410263</v>
      </c>
    </row>
    <row r="108" spans="1:55" ht="96">
      <c r="A108" s="11" t="s">
        <v>1549</v>
      </c>
      <c r="B108" s="11" t="str">
        <f t="shared" ref="B108:B110" si="41">CONCATENATE(LOWER(E108),"-msa-sp-",LOWER(A108))</f>
        <v>tpr-msa-sp-wsclientes0076</v>
      </c>
      <c r="C108" s="57" t="s">
        <v>1550</v>
      </c>
      <c r="D108" s="11" t="s">
        <v>59</v>
      </c>
      <c r="E108" s="114" t="str">
        <f>VLOOKUP(D108,Tribus!$A$1:$B$33,2,FALSE)</f>
        <v>tpr</v>
      </c>
      <c r="F108" s="12" t="s">
        <v>441</v>
      </c>
      <c r="G108" s="12" t="s">
        <v>238</v>
      </c>
      <c r="H108" s="12" t="s">
        <v>239</v>
      </c>
      <c r="I108" s="151" t="s">
        <v>240</v>
      </c>
      <c r="J108" s="57" t="s">
        <v>1551</v>
      </c>
      <c r="K108" s="57" t="s">
        <v>1552</v>
      </c>
      <c r="L108" s="57" t="s">
        <v>241</v>
      </c>
      <c r="M108" s="11">
        <v>1</v>
      </c>
      <c r="N108" s="12" t="s">
        <v>148</v>
      </c>
      <c r="O108" s="11" t="s">
        <v>505</v>
      </c>
      <c r="P108" s="11">
        <v>1</v>
      </c>
      <c r="Q108" s="12" t="s">
        <v>148</v>
      </c>
      <c r="R108" s="11" t="s">
        <v>1553</v>
      </c>
      <c r="S108" s="11">
        <v>1</v>
      </c>
      <c r="T108" s="12" t="s">
        <v>148</v>
      </c>
      <c r="U108" s="84" t="s">
        <v>242</v>
      </c>
      <c r="V108" s="15"/>
      <c r="W108" s="12" t="s">
        <v>148</v>
      </c>
      <c r="X108" s="11" t="s">
        <v>1554</v>
      </c>
      <c r="Y108" s="11" t="s">
        <v>1555</v>
      </c>
      <c r="Z108" s="11"/>
      <c r="AA108" s="11"/>
      <c r="AB108" s="12" t="s">
        <v>148</v>
      </c>
      <c r="AC108" s="11" t="s">
        <v>905</v>
      </c>
      <c r="AD108" s="42" t="s">
        <v>149</v>
      </c>
      <c r="AE108" s="57" t="s">
        <v>1556</v>
      </c>
      <c r="AF108" s="57" t="s">
        <v>1557</v>
      </c>
      <c r="AG108" s="11">
        <v>0</v>
      </c>
      <c r="AH108" s="11">
        <v>2</v>
      </c>
      <c r="AI108" s="12" t="s">
        <v>149</v>
      </c>
      <c r="AJ108" s="11" t="s">
        <v>171</v>
      </c>
      <c r="AK108" s="12" t="s">
        <v>148</v>
      </c>
      <c r="AL108" s="18" t="s">
        <v>1558</v>
      </c>
      <c r="AM108" s="12" t="s">
        <v>148</v>
      </c>
      <c r="AN108" s="141">
        <f>IFERROR(SUM(CHOOSE(MATCH(N108,{"Baja";"Media";"Alta"},0),1,2,3),
CHOOSE(MATCH(Q108,{"Baja";"Media";"Alta"},0),1,2,3),
CHOOSE(MATCH(T108,{"Baja";"Media";"Alta"},0),1,2,3),
CHOOSE(MATCH(W108,{"Baja";"Media";"Alta"},0),1,2,3),
CHOOSE(MATCH(AB108,{"Baja";"Media";"Alta"},0),1,2,3),
CHOOSE(MATCH(AD108,{"Baja";"Media";"Alta"},0),1,2,3),
CHOOSE(MATCH(AI108,{"Baja";"Media";"Alta"},0),1,2,3),
CHOOSE(MATCH(AK108,{"Baja";"Media";"Alta"},0),1,2,3),
CHOOSE(MATCH(AM108,{"Baja";"Media";"Alta"},0),1,2,3)),0)</f>
        <v>11</v>
      </c>
      <c r="AO108" s="67" t="str">
        <f t="shared" ref="AO108" si="42">IF(AN108=0,"Pendiente",IF(AN108&lt;=15,"Bajo",IF(AN108&lt;=21,"Medio","Alto")))</f>
        <v>Bajo</v>
      </c>
      <c r="AP108" s="18"/>
      <c r="AQ108" s="11"/>
      <c r="AR108" s="120" t="e">
        <f>VLOOKUP(A108,#REF!,2,FALSE)</f>
        <v>#REF!</v>
      </c>
      <c r="AS108" s="137" t="s">
        <v>1559</v>
      </c>
      <c r="AT108" s="144" t="s">
        <v>1560</v>
      </c>
      <c r="AU108" s="137" t="s">
        <v>1561</v>
      </c>
      <c r="AV108" s="34">
        <v>1</v>
      </c>
      <c r="AW108" s="95" t="s">
        <v>1562</v>
      </c>
    </row>
    <row r="109" spans="1:55" ht="247">
      <c r="A109" s="72" t="s">
        <v>1563</v>
      </c>
      <c r="B109" s="16" t="str">
        <f t="shared" si="41"/>
        <v>tpr-msa-sp-wsclientes0091</v>
      </c>
      <c r="C109" s="167" t="s">
        <v>1564</v>
      </c>
      <c r="D109" s="72" t="s">
        <v>59</v>
      </c>
      <c r="E109" s="34" t="str">
        <f>VLOOKUP(D109,Tribus!$A$1:$B$33,2,FALSE)</f>
        <v>tpr</v>
      </c>
      <c r="F109" s="71" t="s">
        <v>441</v>
      </c>
      <c r="G109" s="71" t="s">
        <v>238</v>
      </c>
      <c r="H109" s="71" t="s">
        <v>239</v>
      </c>
      <c r="I109" s="162" t="s">
        <v>240</v>
      </c>
      <c r="J109" s="160" t="s">
        <v>1565</v>
      </c>
      <c r="K109" s="161" t="s">
        <v>1566</v>
      </c>
      <c r="L109" s="63" t="s">
        <v>241</v>
      </c>
      <c r="M109" s="122">
        <v>1</v>
      </c>
      <c r="N109" s="47" t="s">
        <v>148</v>
      </c>
      <c r="O109" s="37" t="s">
        <v>101</v>
      </c>
      <c r="P109" s="37">
        <v>1</v>
      </c>
      <c r="Q109" s="47" t="s">
        <v>148</v>
      </c>
      <c r="R109" s="37" t="s">
        <v>1329</v>
      </c>
      <c r="S109" s="37">
        <v>1</v>
      </c>
      <c r="T109" s="47" t="s">
        <v>148</v>
      </c>
      <c r="U109" s="38" t="s">
        <v>242</v>
      </c>
      <c r="V109" s="38"/>
      <c r="W109" s="47" t="s">
        <v>148</v>
      </c>
      <c r="X109" s="75">
        <v>644</v>
      </c>
      <c r="Y109" s="73" t="s">
        <v>1254</v>
      </c>
      <c r="Z109" s="73"/>
      <c r="AA109" s="73"/>
      <c r="AB109" s="47" t="s">
        <v>148</v>
      </c>
      <c r="AC109" s="43" t="s">
        <v>678</v>
      </c>
      <c r="AD109" s="47" t="s">
        <v>149</v>
      </c>
      <c r="AE109" s="20"/>
      <c r="AF109" s="73" t="s">
        <v>384</v>
      </c>
      <c r="AG109" s="73"/>
      <c r="AH109" s="74">
        <v>1</v>
      </c>
      <c r="AI109" s="123" t="s">
        <v>148</v>
      </c>
      <c r="AJ109" s="37" t="s">
        <v>171</v>
      </c>
      <c r="AK109" s="47" t="s">
        <v>148</v>
      </c>
      <c r="AL109" s="74" t="s">
        <v>1567</v>
      </c>
      <c r="AM109" s="47" t="s">
        <v>148</v>
      </c>
      <c r="AN109" s="150">
        <f>IFERROR(SUM(CHOOSE(MATCH(N109,{"Baja";"Media";"Alta"},0),1,2,3),
CHOOSE(MATCH(Q109,{"Baja";"Media";"Alta"},0),1,2,3),
CHOOSE(MATCH(T109,{"Baja";"Media";"Alta"},0),1,2,3),
CHOOSE(MATCH(W109,{"Baja";"Media";"Alta"},0),1,2,3),
CHOOSE(MATCH(AB109,{"Baja";"Media";"Alta"},0),1,2,3),
CHOOSE(MATCH(AD109,{"Baja";"Media";"Alta"},0),1,2,3),
CHOOSE(MATCH(AI109,{"Baja";"Media";"Alta"},0),1,2,3),
CHOOSE(MATCH(AK109,{"Baja";"Media";"Alta"},0),1,2,3),
CHOOSE(MATCH(AM109,{"Baja";"Media";"Alta"},0),1,2,3)),0)</f>
        <v>10</v>
      </c>
      <c r="AO109" s="67" t="str">
        <f t="shared" ref="AO109:AO110" si="43">IF(AN109=0,"Pendiente",IF(AN109&lt;=15,"Bajo",IF(AN109&lt;=21,"Medio","Alto")))</f>
        <v>Bajo</v>
      </c>
      <c r="AP109" s="18"/>
      <c r="AQ109" s="51" t="s">
        <v>1417</v>
      </c>
      <c r="AR109" s="120" t="e">
        <f>VLOOKUP(A109,#REF!,2,FALSE)</f>
        <v>#REF!</v>
      </c>
      <c r="AS109" s="104" t="s">
        <v>1568</v>
      </c>
      <c r="AT109" s="110" t="s">
        <v>1569</v>
      </c>
      <c r="AU109" s="134" t="s">
        <v>1570</v>
      </c>
      <c r="AV109" s="56">
        <v>1</v>
      </c>
      <c r="AW109" s="95" t="s">
        <v>1571</v>
      </c>
      <c r="AY109" s="55"/>
    </row>
    <row r="110" spans="1:55" s="44" customFormat="1" ht="169">
      <c r="A110" s="16" t="s">
        <v>1572</v>
      </c>
      <c r="B110" s="16" t="str">
        <f t="shared" si="41"/>
        <v>tnd-msa-sp-wsclientes0098</v>
      </c>
      <c r="C110" s="51" t="s">
        <v>1573</v>
      </c>
      <c r="D110" s="16" t="s">
        <v>61</v>
      </c>
      <c r="E110" s="34" t="str">
        <f>VLOOKUP(D110,Tribus!$A$1:$B$33,2,FALSE)</f>
        <v>tnd</v>
      </c>
      <c r="F110" s="42" t="s">
        <v>441</v>
      </c>
      <c r="G110" s="42" t="s">
        <v>238</v>
      </c>
      <c r="H110" s="42" t="s">
        <v>239</v>
      </c>
      <c r="I110" s="36" t="s">
        <v>240</v>
      </c>
      <c r="J110" s="155" t="s">
        <v>1574</v>
      </c>
      <c r="K110" s="156" t="s">
        <v>1365</v>
      </c>
      <c r="L110" s="63" t="s">
        <v>241</v>
      </c>
      <c r="M110" s="37">
        <v>1</v>
      </c>
      <c r="N110" s="47" t="s">
        <v>148</v>
      </c>
      <c r="O110" s="37" t="s">
        <v>101</v>
      </c>
      <c r="P110" s="37">
        <v>1</v>
      </c>
      <c r="Q110" s="47" t="s">
        <v>148</v>
      </c>
      <c r="R110" s="37" t="s">
        <v>1329</v>
      </c>
      <c r="S110" s="37">
        <v>1</v>
      </c>
      <c r="T110" s="47" t="s">
        <v>148</v>
      </c>
      <c r="U110" s="38" t="s">
        <v>242</v>
      </c>
      <c r="V110" s="38"/>
      <c r="W110" s="47" t="s">
        <v>148</v>
      </c>
      <c r="X110" s="43" t="s">
        <v>1575</v>
      </c>
      <c r="Y110" s="43" t="s">
        <v>1576</v>
      </c>
      <c r="Z110" s="43"/>
      <c r="AA110" s="43"/>
      <c r="AB110" s="47" t="s">
        <v>148</v>
      </c>
      <c r="AC110" s="43" t="s">
        <v>677</v>
      </c>
      <c r="AD110" s="47" t="s">
        <v>149</v>
      </c>
      <c r="AE110" s="20"/>
      <c r="AF110" s="20" t="s">
        <v>1577</v>
      </c>
      <c r="AG110" s="43"/>
      <c r="AH110" s="37">
        <v>2</v>
      </c>
      <c r="AI110" s="47" t="s">
        <v>149</v>
      </c>
      <c r="AJ110" s="37" t="s">
        <v>171</v>
      </c>
      <c r="AK110" s="47" t="s">
        <v>148</v>
      </c>
      <c r="AL110" s="40" t="s">
        <v>1578</v>
      </c>
      <c r="AM110" s="47" t="s">
        <v>148</v>
      </c>
      <c r="AN110" s="150">
        <f>IFERROR(SUM(CHOOSE(MATCH(N110,{"Baja";"Media";"Alta"},0),1,2,3),
CHOOSE(MATCH(Q110,{"Baja";"Media";"Alta"},0),1,2,3),
CHOOSE(MATCH(T110,{"Baja";"Media";"Alta"},0),1,2,3),
CHOOSE(MATCH(W110,{"Baja";"Media";"Alta"},0),1,2,3),
CHOOSE(MATCH(AB110,{"Baja";"Media";"Alta"},0),1,2,3),
CHOOSE(MATCH(AD110,{"Baja";"Media";"Alta"},0),1,2,3),
CHOOSE(MATCH(AI110,{"Baja";"Media";"Alta"},0),1,2,3),
CHOOSE(MATCH(AK110,{"Baja";"Media";"Alta"},0),1,2,3),
CHOOSE(MATCH(AM110,{"Baja";"Media";"Alta"},0),1,2,3)),0)</f>
        <v>11</v>
      </c>
      <c r="AO110" s="67" t="str">
        <f t="shared" si="43"/>
        <v>Bajo</v>
      </c>
      <c r="AP110" s="18"/>
      <c r="AQ110" s="16"/>
      <c r="AR110" s="120" t="e">
        <f>VLOOKUP(A110,#REF!,2,FALSE)</f>
        <v>#REF!</v>
      </c>
      <c r="AS110" s="104" t="s">
        <v>1579</v>
      </c>
      <c r="AT110" s="110" t="s">
        <v>1580</v>
      </c>
      <c r="AU110" s="134" t="s">
        <v>1581</v>
      </c>
      <c r="AV110" s="34">
        <v>1</v>
      </c>
      <c r="AW110" s="126" t="s">
        <v>1582</v>
      </c>
      <c r="AX110"/>
    </row>
    <row r="111" spans="1:55" ht="195">
      <c r="A111" s="16" t="s">
        <v>1583</v>
      </c>
      <c r="B111" s="16" t="str">
        <f t="shared" ref="B111:B113" si="44">CONCATENATE(LOWER(E111),"-msa-sp-",LOWER(A111))</f>
        <v>tpr-msa-sp-wsclientes0141</v>
      </c>
      <c r="C111" s="51" t="s">
        <v>1584</v>
      </c>
      <c r="D111" s="16" t="s">
        <v>59</v>
      </c>
      <c r="E111" s="34" t="str">
        <f>VLOOKUP(D111,Tribus!$A$1:$B$33,2,FALSE)</f>
        <v>tpr</v>
      </c>
      <c r="F111" s="42" t="s">
        <v>441</v>
      </c>
      <c r="G111" s="42" t="s">
        <v>238</v>
      </c>
      <c r="H111" s="42" t="s">
        <v>239</v>
      </c>
      <c r="I111" s="36" t="s">
        <v>240</v>
      </c>
      <c r="J111" s="155" t="s">
        <v>1585</v>
      </c>
      <c r="K111" s="156" t="s">
        <v>1586</v>
      </c>
      <c r="L111" s="63" t="s">
        <v>241</v>
      </c>
      <c r="M111" s="37">
        <v>1</v>
      </c>
      <c r="N111" s="47" t="s">
        <v>148</v>
      </c>
      <c r="O111" s="37" t="s">
        <v>101</v>
      </c>
      <c r="P111" s="37">
        <v>1</v>
      </c>
      <c r="Q111" s="47" t="s">
        <v>148</v>
      </c>
      <c r="R111" s="37" t="s">
        <v>1329</v>
      </c>
      <c r="S111" s="37">
        <v>1</v>
      </c>
      <c r="T111" s="47" t="s">
        <v>148</v>
      </c>
      <c r="U111" s="38" t="s">
        <v>242</v>
      </c>
      <c r="V111" s="38"/>
      <c r="W111" s="47" t="s">
        <v>148</v>
      </c>
      <c r="X111" s="43" t="s">
        <v>1587</v>
      </c>
      <c r="Y111" s="43" t="s">
        <v>1531</v>
      </c>
      <c r="Z111" s="43"/>
      <c r="AA111" s="43"/>
      <c r="AB111" s="47" t="s">
        <v>149</v>
      </c>
      <c r="AC111" s="43" t="s">
        <v>677</v>
      </c>
      <c r="AD111" s="47" t="s">
        <v>149</v>
      </c>
      <c r="AE111" s="20" t="s">
        <v>59</v>
      </c>
      <c r="AF111" s="20" t="s">
        <v>1588</v>
      </c>
      <c r="AG111" s="20" t="s">
        <v>977</v>
      </c>
      <c r="AH111" s="37">
        <v>3</v>
      </c>
      <c r="AI111" s="123" t="s">
        <v>149</v>
      </c>
      <c r="AJ111" s="37" t="s">
        <v>171</v>
      </c>
      <c r="AK111" s="47" t="s">
        <v>148</v>
      </c>
      <c r="AL111" s="40" t="s">
        <v>574</v>
      </c>
      <c r="AM111" s="47" t="s">
        <v>148</v>
      </c>
      <c r="AN111" s="150">
        <f>IFERROR(SUM(CHOOSE(MATCH(N111,{"Baja";"Media";"Alta"},0),1,2,3),
CHOOSE(MATCH(Q111,{"Baja";"Media";"Alta"},0),1,2,3),
CHOOSE(MATCH(T111,{"Baja";"Media";"Alta"},0),1,2,3),
CHOOSE(MATCH(W111,{"Baja";"Media";"Alta"},0),1,2,3),
CHOOSE(MATCH(AB111,{"Baja";"Media";"Alta"},0),1,2,3),
CHOOSE(MATCH(AD111,{"Baja";"Media";"Alta"},0),1,2,3),
CHOOSE(MATCH(AI111,{"Baja";"Media";"Alta"},0),1,2,3),
CHOOSE(MATCH(AK111,{"Baja";"Media";"Alta"},0),1,2,3),
CHOOSE(MATCH(AM111,{"Baja";"Media";"Alta"},0),1,2,3)),0)</f>
        <v>12</v>
      </c>
      <c r="AO111" s="67" t="str">
        <f t="shared" ref="AO111" si="45">IF(AN111=0,"Pendiente",IF(AN111&lt;=15,"Bajo",IF(AN111&lt;=21,"Medio","Alto")))</f>
        <v>Bajo</v>
      </c>
      <c r="AP111" s="18"/>
      <c r="AQ111" s="16"/>
      <c r="AR111" s="34" t="e">
        <f>VLOOKUP(A111,#REF!,2,FALSE)</f>
        <v>#REF!</v>
      </c>
      <c r="AS111" s="104" t="s">
        <v>1589</v>
      </c>
      <c r="AT111" s="129" t="s">
        <v>1590</v>
      </c>
      <c r="AU111" s="101" t="s">
        <v>1591</v>
      </c>
      <c r="AV111" s="34">
        <v>1</v>
      </c>
      <c r="AW111" s="95" t="s">
        <v>1592</v>
      </c>
    </row>
    <row r="112" spans="1:55" ht="64">
      <c r="A112" s="11" t="s">
        <v>1593</v>
      </c>
      <c r="B112" s="11" t="str">
        <f t="shared" si="44"/>
        <v>csg-msa-sp-wsclientes0154</v>
      </c>
      <c r="C112" s="51" t="s">
        <v>1594</v>
      </c>
      <c r="D112" s="11" t="s">
        <v>65</v>
      </c>
      <c r="E112" s="114" t="str">
        <f>VLOOKUP(D112,Tribus!$A$1:$B$33,2,FALSE)</f>
        <v>csg</v>
      </c>
      <c r="F112" s="12" t="s">
        <v>441</v>
      </c>
      <c r="G112" s="12" t="s">
        <v>238</v>
      </c>
      <c r="H112" s="12" t="s">
        <v>239</v>
      </c>
      <c r="I112" s="151" t="s">
        <v>240</v>
      </c>
      <c r="J112" s="19" t="s">
        <v>1595</v>
      </c>
      <c r="K112" s="19" t="s">
        <v>1596</v>
      </c>
      <c r="L112" s="19" t="s">
        <v>241</v>
      </c>
      <c r="M112" s="15">
        <v>1</v>
      </c>
      <c r="N112" s="14" t="s">
        <v>148</v>
      </c>
      <c r="O112" s="15" t="s">
        <v>897</v>
      </c>
      <c r="P112" s="15">
        <v>1</v>
      </c>
      <c r="Q112" s="14" t="s">
        <v>148</v>
      </c>
      <c r="R112" s="15" t="s">
        <v>1371</v>
      </c>
      <c r="S112" s="15">
        <v>1</v>
      </c>
      <c r="T112" s="14" t="s">
        <v>148</v>
      </c>
      <c r="U112" s="38" t="s">
        <v>242</v>
      </c>
      <c r="V112" s="38"/>
      <c r="W112" s="14" t="s">
        <v>148</v>
      </c>
      <c r="X112" s="15" t="s">
        <v>1597</v>
      </c>
      <c r="Y112" s="15" t="s">
        <v>1598</v>
      </c>
      <c r="Z112" s="15"/>
      <c r="AA112" s="15"/>
      <c r="AB112" s="14" t="s">
        <v>148</v>
      </c>
      <c r="AC112" s="15" t="s">
        <v>677</v>
      </c>
      <c r="AD112" s="47" t="s">
        <v>149</v>
      </c>
      <c r="AE112" s="19"/>
      <c r="AF112" s="19" t="s">
        <v>1599</v>
      </c>
      <c r="AG112" s="15" t="s">
        <v>171</v>
      </c>
      <c r="AH112" s="15">
        <v>2</v>
      </c>
      <c r="AI112" s="14" t="s">
        <v>149</v>
      </c>
      <c r="AJ112" s="15" t="s">
        <v>171</v>
      </c>
      <c r="AK112" s="14" t="s">
        <v>148</v>
      </c>
      <c r="AL112" s="39" t="s">
        <v>1600</v>
      </c>
      <c r="AM112" s="14" t="s">
        <v>148</v>
      </c>
      <c r="AN112" s="141">
        <f>IFERROR(SUM(CHOOSE(MATCH(N112,{"Baja";"Media";"Alta"},0),1,2,3),
CHOOSE(MATCH(Q112,{"Baja";"Media";"Alta"},0),1,2,3),
CHOOSE(MATCH(T112,{"Baja";"Media";"Alta"},0),1,2,3),
CHOOSE(MATCH(W112,{"Baja";"Media";"Alta"},0),1,2,3),
CHOOSE(MATCH(AB112,{"Baja";"Media";"Alta"},0),1,2,3),
CHOOSE(MATCH(AD112,{"Baja";"Media";"Alta"},0),1,2,3),
CHOOSE(MATCH(AI112,{"Baja";"Media";"Alta"},0),1,2,3),
CHOOSE(MATCH(AK112,{"Baja";"Media";"Alta"},0),1,2,3),
CHOOSE(MATCH(AM112,{"Baja";"Media";"Alta"},0),1,2,3)),0)</f>
        <v>11</v>
      </c>
      <c r="AO112" s="67" t="str">
        <f t="shared" ref="AO112:AO113" si="46">IF(AN112=0,"Pendiente",IF(AN112&lt;=15,"Bajo",IF(AN112&lt;=21,"Medio","Alto")))</f>
        <v>Bajo</v>
      </c>
      <c r="AP112" s="18"/>
      <c r="AQ112" s="11" t="s">
        <v>1601</v>
      </c>
      <c r="AR112" s="34" t="e">
        <f>VLOOKUP(A112,#REF!,2,FALSE)</f>
        <v>#REF!</v>
      </c>
      <c r="AS112" s="87" t="s">
        <v>1602</v>
      </c>
      <c r="AT112" s="94" t="s">
        <v>1603</v>
      </c>
      <c r="AU112" s="87" t="s">
        <v>1604</v>
      </c>
      <c r="AV112" s="34">
        <v>1</v>
      </c>
      <c r="AW112" s="95" t="s">
        <v>1605</v>
      </c>
    </row>
    <row r="113" spans="1:49" ht="96">
      <c r="A113" s="11" t="s">
        <v>1606</v>
      </c>
      <c r="B113" s="11" t="str">
        <f t="shared" si="44"/>
        <v>tnd-msa-sp-wsclientes0155</v>
      </c>
      <c r="C113" s="57" t="s">
        <v>1607</v>
      </c>
      <c r="D113" s="16" t="s">
        <v>61</v>
      </c>
      <c r="E113" s="114" t="str">
        <f>VLOOKUP(D113,Tribus!$A$1:$B$33,2,FALSE)</f>
        <v>tnd</v>
      </c>
      <c r="F113" s="12" t="s">
        <v>441</v>
      </c>
      <c r="G113" s="12" t="s">
        <v>238</v>
      </c>
      <c r="H113" s="12" t="s">
        <v>239</v>
      </c>
      <c r="I113" s="151" t="s">
        <v>240</v>
      </c>
      <c r="J113" s="80" t="s">
        <v>1608</v>
      </c>
      <c r="K113" s="19" t="s">
        <v>1596</v>
      </c>
      <c r="L113" s="19" t="s">
        <v>241</v>
      </c>
      <c r="M113" s="15">
        <v>1</v>
      </c>
      <c r="N113" s="14" t="s">
        <v>148</v>
      </c>
      <c r="O113" s="15" t="s">
        <v>897</v>
      </c>
      <c r="P113" s="15">
        <v>1</v>
      </c>
      <c r="Q113" s="14" t="s">
        <v>148</v>
      </c>
      <c r="R113" s="15" t="s">
        <v>1553</v>
      </c>
      <c r="S113" s="15">
        <v>1</v>
      </c>
      <c r="T113" s="14" t="s">
        <v>148</v>
      </c>
      <c r="U113" s="38" t="s">
        <v>242</v>
      </c>
      <c r="V113" s="38"/>
      <c r="W113" s="14" t="s">
        <v>148</v>
      </c>
      <c r="X113" s="15" t="s">
        <v>1609</v>
      </c>
      <c r="Y113" s="15" t="s">
        <v>1610</v>
      </c>
      <c r="Z113" s="15"/>
      <c r="AA113" s="15"/>
      <c r="AB113" s="14" t="s">
        <v>148</v>
      </c>
      <c r="AC113" s="15" t="s">
        <v>905</v>
      </c>
      <c r="AD113" s="47" t="s">
        <v>149</v>
      </c>
      <c r="AE113" s="19" t="s">
        <v>61</v>
      </c>
      <c r="AF113" s="15" t="s">
        <v>601</v>
      </c>
      <c r="AG113" s="15">
        <v>0</v>
      </c>
      <c r="AH113" s="15">
        <v>1</v>
      </c>
      <c r="AI113" s="14" t="s">
        <v>148</v>
      </c>
      <c r="AJ113" s="15" t="s">
        <v>171</v>
      </c>
      <c r="AK113" s="14" t="s">
        <v>148</v>
      </c>
      <c r="AL113" s="39" t="s">
        <v>1611</v>
      </c>
      <c r="AM113" s="14" t="s">
        <v>148</v>
      </c>
      <c r="AN113" s="141">
        <f>IFERROR(SUM(CHOOSE(MATCH(N113,{"Baja";"Media";"Alta"},0),1,2,3),
CHOOSE(MATCH(Q113,{"Baja";"Media";"Alta"},0),1,2,3),
CHOOSE(MATCH(T113,{"Baja";"Media";"Alta"},0),1,2,3),
CHOOSE(MATCH(W113,{"Baja";"Media";"Alta"},0),1,2,3),
CHOOSE(MATCH(AB113,{"Baja";"Media";"Alta"},0),1,2,3),
CHOOSE(MATCH(AD113,{"Baja";"Media";"Alta"},0),1,2,3),
CHOOSE(MATCH(AI113,{"Baja";"Media";"Alta"},0),1,2,3),
CHOOSE(MATCH(AK113,{"Baja";"Media";"Alta"},0),1,2,3),
CHOOSE(MATCH(AM113,{"Baja";"Media";"Alta"},0),1,2,3)),0)</f>
        <v>10</v>
      </c>
      <c r="AO113" s="67" t="str">
        <f t="shared" si="46"/>
        <v>Bajo</v>
      </c>
      <c r="AP113" s="18"/>
      <c r="AQ113" s="11" t="s">
        <v>1612</v>
      </c>
      <c r="AR113" s="34" t="e">
        <f>VLOOKUP(A113,#REF!,2,FALSE)</f>
        <v>#REF!</v>
      </c>
      <c r="AS113" s="98" t="s">
        <v>1613</v>
      </c>
      <c r="AT113" s="124" t="s">
        <v>1614</v>
      </c>
      <c r="AU113" s="98" t="s">
        <v>1615</v>
      </c>
      <c r="AV113" s="34">
        <v>1</v>
      </c>
      <c r="AW113" s="95" t="s">
        <v>1616</v>
      </c>
    </row>
    <row r="114" spans="1:49" ht="80">
      <c r="A114" s="61" t="s">
        <v>1618</v>
      </c>
      <c r="B114" s="11" t="str">
        <f t="shared" ref="B114:B115" si="47">CONCATENATE(LOWER(E114),"-msa-sp-",LOWER(A114))</f>
        <v>csg-msa-sp-wsseguridad0020</v>
      </c>
      <c r="C114" s="57" t="s">
        <v>1619</v>
      </c>
      <c r="D114" s="11" t="s">
        <v>65</v>
      </c>
      <c r="E114" s="114" t="str">
        <f>VLOOKUP(D114,Tribus!$A$1:$B$33,2,FALSE)</f>
        <v>csg</v>
      </c>
      <c r="F114" s="12" t="s">
        <v>441</v>
      </c>
      <c r="G114" s="12" t="s">
        <v>238</v>
      </c>
      <c r="H114" s="12" t="s">
        <v>239</v>
      </c>
      <c r="I114" s="151" t="s">
        <v>240</v>
      </c>
      <c r="J114" s="19" t="s">
        <v>1620</v>
      </c>
      <c r="K114" s="19" t="s">
        <v>1617</v>
      </c>
      <c r="L114" s="19" t="s">
        <v>241</v>
      </c>
      <c r="M114" s="15">
        <v>3</v>
      </c>
      <c r="N114" s="14" t="s">
        <v>149</v>
      </c>
      <c r="O114" s="15" t="s">
        <v>897</v>
      </c>
      <c r="P114" s="15">
        <v>1</v>
      </c>
      <c r="Q114" s="14" t="s">
        <v>148</v>
      </c>
      <c r="R114" s="15" t="s">
        <v>1553</v>
      </c>
      <c r="S114" s="15">
        <v>1</v>
      </c>
      <c r="T114" s="14" t="s">
        <v>148</v>
      </c>
      <c r="U114" s="38" t="s">
        <v>242</v>
      </c>
      <c r="V114" s="38"/>
      <c r="W114" s="14" t="s">
        <v>148</v>
      </c>
      <c r="X114" s="15" t="s">
        <v>1621</v>
      </c>
      <c r="Y114" s="15" t="s">
        <v>1622</v>
      </c>
      <c r="Z114" s="15"/>
      <c r="AA114" s="15"/>
      <c r="AB114" s="14" t="s">
        <v>148</v>
      </c>
      <c r="AC114" s="15" t="s">
        <v>677</v>
      </c>
      <c r="AD114" s="47" t="s">
        <v>149</v>
      </c>
      <c r="AE114" s="19" t="s">
        <v>1623</v>
      </c>
      <c r="AF114" s="19" t="s">
        <v>1624</v>
      </c>
      <c r="AG114" s="15" t="s">
        <v>171</v>
      </c>
      <c r="AH114" s="15">
        <v>5</v>
      </c>
      <c r="AI114" s="14" t="s">
        <v>150</v>
      </c>
      <c r="AJ114" s="15" t="s">
        <v>171</v>
      </c>
      <c r="AK114" s="14" t="s">
        <v>148</v>
      </c>
      <c r="AL114" s="50" t="s">
        <v>1625</v>
      </c>
      <c r="AM114" s="14" t="s">
        <v>150</v>
      </c>
      <c r="AN114" s="141">
        <f>IFERROR(SUM(CHOOSE(MATCH(N114,{"Baja";"Media";"Alta"},0),1,2,3),
CHOOSE(MATCH(Q114,{"Baja";"Media";"Alta"},0),1,2,3),
CHOOSE(MATCH(T114,{"Baja";"Media";"Alta"},0),1,2,3),
CHOOSE(MATCH(W114,{"Baja";"Media";"Alta"},0),1,2,3),
CHOOSE(MATCH(AB114,{"Baja";"Media";"Alta"},0),1,2,3),
CHOOSE(MATCH(AD114,{"Baja";"Media";"Alta"},0),1,2,3),
CHOOSE(MATCH(AI114,{"Baja";"Media";"Alta"},0),1,2,3),
CHOOSE(MATCH(AK114,{"Baja";"Media";"Alta"},0),1,2,3),
CHOOSE(MATCH(AM114,{"Baja";"Media";"Alta"},0),1,2,3)),0)</f>
        <v>15</v>
      </c>
      <c r="AO114" s="67" t="str">
        <f t="shared" ref="AO114" si="48">IF(AN114=0,"Pendiente",IF(AN114&lt;=15,"Bajo",IF(AN114&lt;=21,"Medio","Alto")))</f>
        <v>Bajo</v>
      </c>
      <c r="AP114" s="18"/>
      <c r="AQ114" s="11"/>
      <c r="AR114" s="34" t="e">
        <f>VLOOKUP(A114,#REF!,2,FALSE)</f>
        <v>#REF!</v>
      </c>
      <c r="AS114" s="98" t="s">
        <v>1626</v>
      </c>
      <c r="AT114" s="124" t="s">
        <v>1627</v>
      </c>
      <c r="AU114" s="98" t="s">
        <v>1628</v>
      </c>
      <c r="AV114" s="34">
        <v>1</v>
      </c>
      <c r="AW114" s="95" t="s">
        <v>1629</v>
      </c>
    </row>
    <row r="115" spans="1:49" ht="128">
      <c r="A115" s="61" t="s">
        <v>1630</v>
      </c>
      <c r="B115" s="11" t="str">
        <f t="shared" si="47"/>
        <v>tnd-msa-sp-wsseguridad0029</v>
      </c>
      <c r="C115" s="57" t="s">
        <v>1631</v>
      </c>
      <c r="D115" s="16" t="s">
        <v>61</v>
      </c>
      <c r="E115" s="114" t="str">
        <f>VLOOKUP(D115,Tribus!$A$1:$B$33,2,FALSE)</f>
        <v>tnd</v>
      </c>
      <c r="F115" s="12" t="s">
        <v>441</v>
      </c>
      <c r="G115" s="12" t="s">
        <v>238</v>
      </c>
      <c r="H115" s="12" t="s">
        <v>239</v>
      </c>
      <c r="I115" s="151" t="s">
        <v>240</v>
      </c>
      <c r="J115" s="19" t="s">
        <v>1632</v>
      </c>
      <c r="K115" s="19" t="s">
        <v>1633</v>
      </c>
      <c r="L115" s="19" t="s">
        <v>241</v>
      </c>
      <c r="M115" s="15">
        <v>1</v>
      </c>
      <c r="N115" s="14" t="s">
        <v>148</v>
      </c>
      <c r="O115" s="15" t="s">
        <v>897</v>
      </c>
      <c r="P115" s="15">
        <v>1</v>
      </c>
      <c r="Q115" s="14" t="s">
        <v>148</v>
      </c>
      <c r="R115" s="15" t="s">
        <v>1553</v>
      </c>
      <c r="S115" s="15">
        <v>1</v>
      </c>
      <c r="T115" s="14" t="s">
        <v>148</v>
      </c>
      <c r="U115" s="38" t="s">
        <v>242</v>
      </c>
      <c r="V115" s="38"/>
      <c r="W115" s="14" t="s">
        <v>148</v>
      </c>
      <c r="X115" s="15" t="s">
        <v>1634</v>
      </c>
      <c r="Y115" s="15" t="s">
        <v>1635</v>
      </c>
      <c r="Z115" s="15"/>
      <c r="AA115" s="15"/>
      <c r="AB115" s="14" t="s">
        <v>149</v>
      </c>
      <c r="AC115" s="15" t="s">
        <v>677</v>
      </c>
      <c r="AD115" s="47" t="s">
        <v>149</v>
      </c>
      <c r="AE115" s="19" t="s">
        <v>1636</v>
      </c>
      <c r="AF115" s="19" t="s">
        <v>1637</v>
      </c>
      <c r="AG115" s="15" t="s">
        <v>171</v>
      </c>
      <c r="AH115" s="15">
        <v>2</v>
      </c>
      <c r="AI115" s="14" t="s">
        <v>149</v>
      </c>
      <c r="AJ115" s="15" t="s">
        <v>171</v>
      </c>
      <c r="AK115" s="14" t="s">
        <v>148</v>
      </c>
      <c r="AL115" s="39" t="s">
        <v>1638</v>
      </c>
      <c r="AM115" s="14" t="s">
        <v>148</v>
      </c>
      <c r="AN115" s="141">
        <f>IFERROR(SUM(CHOOSE(MATCH(N115,{"Baja";"Media";"Alta"},0),1,2,3),
CHOOSE(MATCH(Q115,{"Baja";"Media";"Alta"},0),1,2,3),
CHOOSE(MATCH(T115,{"Baja";"Media";"Alta"},0),1,2,3),
CHOOSE(MATCH(W115,{"Baja";"Media";"Alta"},0),1,2,3),
CHOOSE(MATCH(AB115,{"Baja";"Media";"Alta"},0),1,2,3),
CHOOSE(MATCH(AD115,{"Baja";"Media";"Alta"},0),1,2,3),
CHOOSE(MATCH(AI115,{"Baja";"Media";"Alta"},0),1,2,3),
CHOOSE(MATCH(AK115,{"Baja";"Media";"Alta"},0),1,2,3),
CHOOSE(MATCH(AM115,{"Baja";"Media";"Alta"},0),1,2,3)),0)</f>
        <v>12</v>
      </c>
      <c r="AO115" s="67" t="str">
        <f t="shared" ref="AO115" si="49">IF(AN115=0,"Pendiente",IF(AN115&lt;=15,"Bajo",IF(AN115&lt;=21,"Medio","Alto")))</f>
        <v>Bajo</v>
      </c>
      <c r="AP115" s="18"/>
      <c r="AQ115" s="11"/>
      <c r="AR115" s="34" t="e">
        <f>VLOOKUP(A115,#REF!,2,FALSE)</f>
        <v>#REF!</v>
      </c>
      <c r="AS115" s="98" t="s">
        <v>1639</v>
      </c>
      <c r="AT115" s="124" t="s">
        <v>1640</v>
      </c>
      <c r="AU115" s="124" t="s">
        <v>1641</v>
      </c>
      <c r="AV115" s="34">
        <v>1</v>
      </c>
      <c r="AW115" s="95" t="s">
        <v>1642</v>
      </c>
    </row>
  </sheetData>
  <autoFilter ref="A1:BC944" xr:uid="{00000000-0001-0000-0100-000000000000}"/>
  <phoneticPr fontId="21" type="noConversion"/>
  <conditionalFormatting sqref="A2">
    <cfRule type="duplicateValues" dxfId="12" priority="18"/>
  </conditionalFormatting>
  <conditionalFormatting sqref="A90:A115 C90:C115">
    <cfRule type="duplicateValues" dxfId="11" priority="523"/>
    <cfRule type="duplicateValues" dxfId="10" priority="524"/>
    <cfRule type="duplicateValues" dxfId="9" priority="525"/>
  </conditionalFormatting>
  <conditionalFormatting sqref="C52">
    <cfRule type="duplicateValues" dxfId="8" priority="20"/>
  </conditionalFormatting>
  <conditionalFormatting sqref="C55">
    <cfRule type="duplicateValues" dxfId="7" priority="34"/>
    <cfRule type="duplicateValues" dxfId="6" priority="35"/>
    <cfRule type="duplicateValues" dxfId="5" priority="36"/>
  </conditionalFormatting>
  <conditionalFormatting sqref="C56:C89 C53:C54 A3:A89 C3:C50 B2:B115">
    <cfRule type="duplicateValues" dxfId="4" priority="595"/>
  </conditionalFormatting>
  <conditionalFormatting sqref="AS40">
    <cfRule type="duplicateValues" dxfId="3" priority="27"/>
  </conditionalFormatting>
  <conditionalFormatting sqref="AS46">
    <cfRule type="duplicateValues" dxfId="2" priority="26"/>
  </conditionalFormatting>
  <conditionalFormatting sqref="AW22">
    <cfRule type="duplicateValues" dxfId="1" priority="23"/>
  </conditionalFormatting>
  <conditionalFormatting sqref="AW51">
    <cfRule type="duplicateValues" dxfId="0" priority="22"/>
  </conditionalFormatting>
  <dataValidations count="7">
    <dataValidation type="list" allowBlank="1" showInputMessage="1" showErrorMessage="1" sqref="AK2:AK19 AD2:AD115 T2:T115 AI2:AI115 W2:W115 AM2:AM115 N2:N115 AB2:AB115 Q2:Q115 AK21:AK115" xr:uid="{00000000-0002-0000-0100-000000000000}">
      <formula1>"Baja,Media,Alta"</formula1>
    </dataValidation>
    <dataValidation type="list" allowBlank="1" showInputMessage="1" showErrorMessage="1" sqref="AS22 AS14 AS8 AS20 AS93 AS83 AS27:AS30 AS18 AS40:AS42 AS81 AS35 AS86:AS87 AS45:AS46 AS38 AS2" xr:uid="{4AD3F899-16D3-46ED-9B38-F426FC21CD72}">
      <formula1>"Si,No"</formula1>
    </dataValidation>
    <dataValidation allowBlank="1" showInputMessage="1" showErrorMessage="1" sqref="AS43:AT43 AS70:AT70 AS72:AS73 AS10 AS16 AS4 AS47:AT47 AS67:AS68 AS49:AS52 AT116:AU1048576 AS95:AU115 AT71:AT77 AS75:AS76 AS54:AS65 AT48:AT69 AT44:AT46 AT78:AU94 AU36:AU77 AT36:AT42 AE1:AE1048576 AT1:AU35" xr:uid="{63C8DC3D-39B8-4BE7-8D6C-8848B6615160}"/>
    <dataValidation type="list" allowBlank="1" showInputMessage="1" showErrorMessage="1" sqref="G2:G115" xr:uid="{00000000-0002-0000-0100-000001000000}">
      <formula1>"ORQ,WS,Flujo,Jar,Servicio"</formula1>
    </dataValidation>
    <dataValidation type="list" allowBlank="1" showInputMessage="1" showErrorMessage="1" sqref="F2:F115" xr:uid="{00000000-0002-0000-0100-000003000000}">
      <formula1>"Bus Omnicanalidad,Was Omnicanalidad,Bus Soporte,Was Notificador, Was Motor de Pagos"</formula1>
    </dataValidation>
    <dataValidation type="list" allowBlank="1" showInputMessage="1" showErrorMessage="1" sqref="H2:H115" xr:uid="{00000000-0002-0000-0100-000004000000}">
      <formula1>"En Proceso, Completado"</formula1>
    </dataValidation>
    <dataValidation type="list" allowBlank="1" showInputMessage="1" showErrorMessage="1" sqref="I2:I115" xr:uid="{00000000-0002-0000-0100-000005000000}">
      <formula1>"A Desarrollo, Descartado"</formula1>
    </dataValidation>
  </dataValidations>
  <hyperlinks>
    <hyperlink ref="AG63" r:id="rId1" xr:uid="{07D524D7-FBFF-456A-9ECD-615FC23EC423}"/>
    <hyperlink ref="AF63" r:id="rId2" xr:uid="{312F2955-977C-4478-91E5-B47C210D6FC2}"/>
    <hyperlink ref="AF72" r:id="rId3" xr:uid="{3F5E826D-0D1C-4091-9145-1DE6C2B866F1}"/>
    <hyperlink ref="AU6" r:id="rId4" xr:uid="{C9E1F9AF-AAFD-4D25-9C9F-F0A852A816A7}"/>
    <hyperlink ref="AS43" r:id="rId5" xr:uid="{E7011BC8-BB0F-4BFE-8933-298B9DF6CEBA}"/>
    <hyperlink ref="AU47" r:id="rId6" xr:uid="{8B1AE107-EC1B-4877-B50F-DE66750F2A59}"/>
    <hyperlink ref="AS47" r:id="rId7" xr:uid="{396D95F4-206D-4B9F-B135-8BC945DC911B}"/>
    <hyperlink ref="AS37" r:id="rId8" xr:uid="{2127E179-6A84-422F-BFC6-7C6E5FD62736}"/>
    <hyperlink ref="AU57" r:id="rId9" xr:uid="{AAF73B80-579F-4173-B847-1F1164E0455C}"/>
    <hyperlink ref="AS57" r:id="rId10" xr:uid="{37C63FDB-C162-49BE-92D8-13176F521D87}"/>
    <hyperlink ref="AU48" r:id="rId11" xr:uid="{44921A6B-20EF-43C5-8518-F413F5DB99C8}"/>
    <hyperlink ref="AS48" r:id="rId12" xr:uid="{FCD5FAC6-4A98-43A1-B6B6-C04B580D1F09}"/>
    <hyperlink ref="AU76" r:id="rId13" xr:uid="{BB962320-4FC6-490E-963D-9B8A3EA3EB8B}"/>
    <hyperlink ref="AS76" r:id="rId14" xr:uid="{83E50206-3BC1-497C-A7A1-F6962C47E777}"/>
    <hyperlink ref="AU62" r:id="rId15" xr:uid="{56D49D87-28B6-4760-B9C6-49B33A1BBE1F}"/>
    <hyperlink ref="AS62" r:id="rId16" xr:uid="{2A2E6C81-9FA1-4321-8386-2A3BA071C91D}"/>
    <hyperlink ref="AS69" r:id="rId17" xr:uid="{15E0AC11-1AC6-45EB-B220-001E5A80FE0C}"/>
    <hyperlink ref="AU63" r:id="rId18" xr:uid="{0F399B40-7B1C-4F83-86F1-4D231FC6C86E}"/>
    <hyperlink ref="AS63" r:id="rId19" xr:uid="{C5520445-1E51-46EB-97A5-F06DC51D9824}"/>
    <hyperlink ref="AU72" r:id="rId20" xr:uid="{5F8CC31D-E510-4191-9F9D-5287FD6D31A5}"/>
    <hyperlink ref="AS72" r:id="rId21" xr:uid="{F590BFDF-0FFA-4A66-AB3C-5B2000DC1DE4}"/>
    <hyperlink ref="AU69" r:id="rId22" xr:uid="{184369BE-8071-4E76-A240-3F05E79996B3}"/>
    <hyperlink ref="AU85" r:id="rId23" xr:uid="{FB1BFCB5-7D93-4C12-A57F-7B18F081C791}"/>
    <hyperlink ref="AS85" r:id="rId24" xr:uid="{946AFD1F-E092-4AE8-80D4-FEE9978271F1}"/>
    <hyperlink ref="AS24" r:id="rId25" xr:uid="{A4AB903F-4FCE-423A-B4FE-FD9E3B11AE7D}"/>
    <hyperlink ref="AU24" r:id="rId26" xr:uid="{B97A648E-467E-4606-B4CD-47FE8C8B33BB}"/>
    <hyperlink ref="AU25" r:id="rId27" xr:uid="{D07DA58C-1FAC-4981-B966-68166E3F5208}"/>
    <hyperlink ref="AS25" r:id="rId28" xr:uid="{5D9B0F78-5881-454D-AA00-DABCB43F7713}"/>
    <hyperlink ref="AU70" r:id="rId29" xr:uid="{0865C8BB-E4E3-41F7-8A3D-28C58E107967}"/>
    <hyperlink ref="AS70" r:id="rId30" xr:uid="{9EEBABD4-5CFE-43FC-A48E-26417E88E7AD}"/>
    <hyperlink ref="AU8" r:id="rId31" xr:uid="{690E0F7D-F483-4694-8F28-06CC72F8B17D}"/>
    <hyperlink ref="AU14" r:id="rId32" xr:uid="{BEA66DFD-9D9B-4F8B-94C4-D196E926D834}"/>
    <hyperlink ref="AU2" r:id="rId33" xr:uid="{3BB4D0EC-5076-4128-B462-AD453F04754D}"/>
    <hyperlink ref="AU20" r:id="rId34" xr:uid="{75D62EAD-DF26-4FAC-8A23-F162C80B8A7A}"/>
    <hyperlink ref="AU73" r:id="rId35" xr:uid="{E637360E-F90E-4ABC-8CFB-BC442F82D7F0}"/>
    <hyperlink ref="AU86" r:id="rId36" xr:uid="{0FFAD4C1-EB22-426F-BE1A-5C143858989E}"/>
    <hyperlink ref="AU112" r:id="rId37" xr:uid="{3BC708DE-6E39-49B8-BBC7-9D05B5F579AC}"/>
    <hyperlink ref="AU93" r:id="rId38" xr:uid="{D80EA698-6D2B-4387-951E-9EF16BA124CA}"/>
    <hyperlink ref="AS2" r:id="rId39" xr:uid="{94332B46-E3C6-4EAB-90D9-6326A6267878}"/>
    <hyperlink ref="AS8" r:id="rId40" xr:uid="{F926C0DC-2DAD-4C2B-95CD-07315052A546}"/>
    <hyperlink ref="AS14" r:id="rId41" xr:uid="{CF17F5EC-8C73-4F44-8A45-F67878089A96}"/>
    <hyperlink ref="AS20" r:id="rId42" xr:uid="{531C5BCE-1891-42B8-8D93-C5869E0724FF}"/>
    <hyperlink ref="AS42" r:id="rId43" xr:uid="{A70FB632-B47A-47A1-A587-A72965386CD4}"/>
    <hyperlink ref="AS51" r:id="rId44" xr:uid="{2B171075-4B09-424E-B685-45A95143EF49}"/>
    <hyperlink ref="AS73" r:id="rId45" xr:uid="{F0FE5ED4-49FE-48DF-9EDE-08CCD83CABFF}"/>
    <hyperlink ref="AS86" r:id="rId46" xr:uid="{0C8ADC85-C145-4B94-AC9C-B06778B89F80}"/>
    <hyperlink ref="AS93" r:id="rId47" xr:uid="{6C73F54E-2AAC-47EB-BBA2-B6F741AA86C5}"/>
    <hyperlink ref="AS112" r:id="rId48" xr:uid="{BDCEEFC4-6C71-46B7-92F0-EEACA3916D7F}"/>
    <hyperlink ref="AS58" r:id="rId49" xr:uid="{A940B1B9-1BBA-4023-A52C-C220671F36FF}"/>
    <hyperlink ref="AS50" r:id="rId50" xr:uid="{0436EE0B-EDB2-4865-BBF0-F893B2EDC464}"/>
    <hyperlink ref="AU54" r:id="rId51" xr:uid="{EF0835C7-D395-42C8-A24A-D79787CC7782}"/>
    <hyperlink ref="AU7" r:id="rId52" xr:uid="{7C8F4FBE-3FE8-4B4F-BD4D-D967EF5117DD}"/>
    <hyperlink ref="AS13" r:id="rId53" xr:uid="{BF074F17-FA09-47DE-A0E9-7E888592BD56}"/>
    <hyperlink ref="AU13" r:id="rId54" xr:uid="{910FDB95-8332-479B-9D00-036BC22F6B0E}"/>
    <hyperlink ref="AU22" r:id="rId55" xr:uid="{99CDC5F6-DD35-4E67-8CAE-9876DD444D64}"/>
    <hyperlink ref="AU49" r:id="rId56" xr:uid="{B604AD33-EE2C-4698-B52D-4CD0A6377161}"/>
    <hyperlink ref="AU64" r:id="rId57" xr:uid="{925AABD5-DD4D-4792-9011-D03B07BF45EE}"/>
    <hyperlink ref="AU65" r:id="rId58" xr:uid="{32F01460-35F1-4777-B0FE-8A7B1F5E2E64}"/>
    <hyperlink ref="AU87" r:id="rId59" xr:uid="{62E88049-536B-4CD5-8B65-C0A02D88F96E}"/>
    <hyperlink ref="AS38" r:id="rId60" xr:uid="{06ADD25C-498B-4A09-AF59-77CC1F912093}"/>
    <hyperlink ref="AS41" r:id="rId61" xr:uid="{E194589B-6E58-4E4C-9CEC-2AF20021387C}"/>
    <hyperlink ref="AS49" r:id="rId62" xr:uid="{74C72765-BF3A-4011-8FD5-963FB7D0499D}"/>
    <hyperlink ref="AS64" r:id="rId63" xr:uid="{3E378E82-C13D-40B1-9C3D-8532B4F1E9C6}"/>
    <hyperlink ref="AS65" r:id="rId64" xr:uid="{D14AD225-26F9-4894-89E0-6FD76E0FCE25}"/>
    <hyperlink ref="AS22" r:id="rId65" xr:uid="{E3112C05-CCF4-4231-9924-65E1FC5F8E01}"/>
    <hyperlink ref="AS27" r:id="rId66" xr:uid="{5F4673B4-C075-4656-84CF-CB20BBD0B443}"/>
    <hyperlink ref="AS19" r:id="rId67" xr:uid="{B4B0406D-10AC-427F-AB45-C8BE00259441}"/>
    <hyperlink ref="AU19" r:id="rId68" xr:uid="{8BCA7895-474A-4B30-B095-F58B09DFC665}"/>
    <hyperlink ref="AF7" r:id="rId69" xr:uid="{40731238-C074-4C27-9D72-2DBD24F76568}"/>
    <hyperlink ref="AF8" r:id="rId70" xr:uid="{48E8E190-2701-47AE-BA1B-6313197433E3}"/>
    <hyperlink ref="AF9" r:id="rId71" xr:uid="{F8E86493-A1E2-4449-BC8D-5C46F92F403E}"/>
    <hyperlink ref="AS21" r:id="rId72" xr:uid="{16609ADE-38EC-4FAA-9E21-0D8E98960EF9}"/>
    <hyperlink ref="AS32" r:id="rId73" xr:uid="{74E46ACF-F1C4-48BA-9E7A-08CD9E114589}"/>
    <hyperlink ref="AS33" r:id="rId74" xr:uid="{5E42B0A6-6C94-45E2-AEB1-23D3519ABC21}"/>
    <hyperlink ref="AU53" r:id="rId75" xr:uid="{D9CA0F06-03CE-4220-9A35-80E0E754ADEF}"/>
    <hyperlink ref="AU66" r:id="rId76" xr:uid="{A8536C12-6ED1-48B3-A3ED-377E95F34265}"/>
    <hyperlink ref="AU71" r:id="rId77" xr:uid="{2353C60D-B604-4B40-BCAF-B97E233E5D17}"/>
    <hyperlink ref="AU74" r:id="rId78" xr:uid="{7596AC0A-8543-4608-96E5-2C697DCB55C2}"/>
    <hyperlink ref="AU80" r:id="rId79" xr:uid="{C45F6811-FDFD-45E7-A116-8AC55E8E8DFB}"/>
    <hyperlink ref="AU91" r:id="rId80" xr:uid="{2D425B7E-174B-4D77-86C4-D869CC95F8A6}"/>
    <hyperlink ref="AU102" r:id="rId81" xr:uid="{C0A86BA3-5ABB-4FCE-8189-426C68E5EEF2}"/>
    <hyperlink ref="AU108" r:id="rId82" xr:uid="{453B57B5-5B35-4007-830E-E63C6D2D7655}"/>
    <hyperlink ref="AU113" r:id="rId83" xr:uid="{F061A90F-6E78-424E-9B42-5177BC62E519}"/>
    <hyperlink ref="AU114" r:id="rId84" xr:uid="{F4D1DBD6-C433-426C-82C4-800C1DA21E78}"/>
    <hyperlink ref="AU115" r:id="rId85" xr:uid="{D3C90825-17A6-4488-B2BB-1D4032861735}"/>
    <hyperlink ref="AS36" r:id="rId86" xr:uid="{D21D26A2-9BDD-4F07-AC47-6CAE6E2AC177}"/>
    <hyperlink ref="AU9" r:id="rId87" xr:uid="{3039FE05-7F61-42ED-919B-CFB88D90085B}"/>
    <hyperlink ref="AS9" r:id="rId88" xr:uid="{78477204-CBAF-43F5-8115-532E48AFD671}"/>
    <hyperlink ref="AS39" r:id="rId89" xr:uid="{7195911D-9DB6-44F8-A644-EBF3E0DB9A37}"/>
    <hyperlink ref="AS44" r:id="rId90" xr:uid="{159DFD54-C5D4-44A8-A971-3BBE5DE73AEE}"/>
    <hyperlink ref="AS53" r:id="rId91" xr:uid="{8386A327-E4AC-44B5-A1D7-009E47F2980E}"/>
    <hyperlink ref="AS66" r:id="rId92" xr:uid="{280710D2-D12B-4C9C-AE85-6F47E635F17F}"/>
    <hyperlink ref="AS71" r:id="rId93" xr:uid="{219FDEC6-59CC-4CAE-B250-F7F06E24EC0B}"/>
    <hyperlink ref="AS74" r:id="rId94" xr:uid="{44B33A65-8793-426B-B7CC-3B8ACEBB63F9}"/>
    <hyperlink ref="AS80" r:id="rId95" xr:uid="{2F0209ED-CAF3-4D51-98A2-2D445C22C7D0}"/>
    <hyperlink ref="AS91" r:id="rId96" xr:uid="{E0693977-4A87-47F2-856B-A010E6EA63BB}"/>
    <hyperlink ref="AS108" r:id="rId97" xr:uid="{B509C8F3-BFDB-476F-B92A-555281F82E61}"/>
    <hyperlink ref="AS102" r:id="rId98" xr:uid="{070B055F-EEA7-4946-94EA-CCE6457AE361}"/>
    <hyperlink ref="AS113" r:id="rId99" xr:uid="{AA359C8A-300B-4C4D-8EA4-E540451C6F78}"/>
    <hyperlink ref="AS114" r:id="rId100" xr:uid="{D58A0DCB-C57C-4B51-95A9-AC326EFE21D7}"/>
    <hyperlink ref="AS115" r:id="rId101" xr:uid="{DBABEF56-0E48-47A2-98B9-90A0C1D7A5B0}"/>
    <hyperlink ref="AU10" r:id="rId102" xr:uid="{C6005EA7-55E3-4A03-9725-4E07A5ACD4D5}"/>
    <hyperlink ref="AT10" r:id="rId103" xr:uid="{95FCFD1C-A5D7-4154-9D42-48F0D6931C6B}"/>
    <hyperlink ref="AT4" r:id="rId104" xr:uid="{6A148D8D-3E7E-4099-AE4E-53247EC64B1C}"/>
    <hyperlink ref="AU4" r:id="rId105" xr:uid="{AAB75D5E-F5BE-4F48-B0AC-84C56902D77F}"/>
    <hyperlink ref="AS4" r:id="rId106" xr:uid="{9D9F4A3F-3625-45EF-AADA-3F67190409A0}"/>
    <hyperlink ref="AS10" r:id="rId107" xr:uid="{A9DC38F7-99A8-4578-A95D-E5DBBC71D513}"/>
    <hyperlink ref="AU16" r:id="rId108" xr:uid="{35319B1C-F3DE-4BAC-A196-FBC1CA036553}"/>
    <hyperlink ref="AT16" r:id="rId109" xr:uid="{7991A3EA-5DDA-4A1A-AE64-016FA3DE46A7}"/>
    <hyperlink ref="AS16" r:id="rId110" xr:uid="{D3B7827C-DC59-47D1-B7CD-E8C54BFFCBFC}"/>
    <hyperlink ref="AS17" r:id="rId111" xr:uid="{C8A7B99A-0464-4827-AF3E-AE48BDCFAF6F}"/>
    <hyperlink ref="AS87" r:id="rId112" xr:uid="{7FA8E88E-1FC6-4353-9C89-DAC9C6875274}"/>
    <hyperlink ref="AS96" r:id="rId113" xr:uid="{F04A2884-EF6C-4FE5-AC1C-4ED6B520285F}"/>
    <hyperlink ref="AU96" r:id="rId114" display="https://dev.azure.com/BancoPichinchaEC/tpl-integration-services-was/_git/ump-umptecnicos0014-was" xr:uid="{5317F6E3-AA08-4838-B868-D31DF031FE83}"/>
    <hyperlink ref="AT7" r:id="rId115" xr:uid="{A15EABFF-E554-4730-9602-1A4CC12E572E}"/>
    <hyperlink ref="AU12" r:id="rId116" xr:uid="{6A0E5DEC-F9B1-4674-AFEE-DF396A55D6C4}"/>
    <hyperlink ref="AU15" r:id="rId117" xr:uid="{1CFA5631-8B61-4177-B58D-6E7139F40BB1}"/>
    <hyperlink ref="AS34" r:id="rId118" xr:uid="{AA83FC5B-F114-4688-844A-4ECC34B85855}"/>
    <hyperlink ref="AT13" r:id="rId119" xr:uid="{983A82C2-14FD-47C9-9F4F-D0DB8D103C9E}"/>
    <hyperlink ref="AT17" r:id="rId120" xr:uid="{A71C9634-DDCA-4CC7-9FC1-E3CEFECFEA4C}"/>
    <hyperlink ref="AT19" r:id="rId121" xr:uid="{4AE43DE4-F836-42E2-AB11-B3847935C875}"/>
    <hyperlink ref="AU58" r:id="rId122" xr:uid="{296DAF68-B462-4FC7-8210-657E3A2D6987}"/>
    <hyperlink ref="AT24" r:id="rId123" xr:uid="{B555BC27-31C7-4B82-86AA-AE2F6D97023E}"/>
    <hyperlink ref="AT25" r:id="rId124" xr:uid="{7B533301-A4B5-481F-8195-6CC9564E1FEF}"/>
    <hyperlink ref="AT39" r:id="rId125" xr:uid="{57F27178-A080-4465-98DB-3517ED802B1A}"/>
    <hyperlink ref="AU3" r:id="rId126" xr:uid="{F00B4081-3C8F-44DD-B176-B122D24E2876}"/>
    <hyperlink ref="AU5" r:id="rId127" xr:uid="{BE5A8D57-DC45-43F5-934B-DA36E9160CD7}"/>
    <hyperlink ref="AU11" r:id="rId128" xr:uid="{41E6E135-33DE-4AD5-BCBC-2CB413906590}"/>
    <hyperlink ref="AU23" r:id="rId129" xr:uid="{F63BEAC6-134A-4E4C-B28B-6DDFE23CADB8}"/>
    <hyperlink ref="AU26" r:id="rId130" xr:uid="{2B98BEB3-C89B-4218-80FA-0A3D14A5DD0D}"/>
    <hyperlink ref="AU28" r:id="rId131" xr:uid="{F6C00916-FDDF-458F-9D0A-FB90C142F810}"/>
    <hyperlink ref="AU45" r:id="rId132" xr:uid="{6148BE60-E8AC-4129-89C4-9B38EA1C87CF}"/>
    <hyperlink ref="AU52" r:id="rId133" xr:uid="{28B38DAA-C954-4BC2-9A4C-125CF5BE9746}"/>
    <hyperlink ref="AU56" r:id="rId134" xr:uid="{17E14706-D845-4196-B4ED-D83620EDF9B4}"/>
    <hyperlink ref="AU59" r:id="rId135" xr:uid="{EFE232D5-C1F9-4FDF-A2D2-CB315584C59F}"/>
    <hyperlink ref="AU60" r:id="rId136" xr:uid="{6413BC91-AB97-401D-A5F8-192EA7E7D071}"/>
    <hyperlink ref="AU61" r:id="rId137" xr:uid="{4968F57D-638F-421B-BF8D-E8FACF47FFB9}"/>
    <hyperlink ref="AU68" r:id="rId138" xr:uid="{6B6C8048-3F59-409A-8440-D2DB48589E9C}"/>
    <hyperlink ref="AU77" r:id="rId139" xr:uid="{1BEB5B2C-706F-434E-AEFE-EC4FE04E0AF8}"/>
    <hyperlink ref="AU78" r:id="rId140" xr:uid="{72E78E1D-9D36-4D3B-A0A0-3E648DE6CF7F}"/>
    <hyperlink ref="AU79" r:id="rId141" xr:uid="{791D24B6-D475-4ED7-BD2C-597D887DC1A1}"/>
    <hyperlink ref="AU82" r:id="rId142" xr:uid="{D629B177-C609-4111-A41E-0F0E014F964A}"/>
    <hyperlink ref="AU84" r:id="rId143" xr:uid="{E73B886B-7E77-43AE-BFF5-6361C141614C}"/>
    <hyperlink ref="AU88" r:id="rId144" xr:uid="{79A1D1D6-C033-41D6-98A3-6E81F1C4C267}"/>
    <hyperlink ref="AU89" r:id="rId145" xr:uid="{5FAB2131-E137-4D55-B3FA-167B9D09C092}"/>
    <hyperlink ref="AU90" r:id="rId146" xr:uid="{7353375C-B391-41FE-926C-BC8CD70FB91F}"/>
    <hyperlink ref="AU92" r:id="rId147" xr:uid="{FE5D22BF-9B61-49D3-AFED-16D06BED1D44}"/>
    <hyperlink ref="AU94" r:id="rId148" xr:uid="{E864E9EE-D8E4-492F-A24A-749413405256}"/>
    <hyperlink ref="AU95" r:id="rId149" xr:uid="{1EB8610E-0EF1-4DAB-88C1-27908723B1EA}"/>
    <hyperlink ref="AU97" r:id="rId150" xr:uid="{2B78899D-F6AC-4F81-8BF2-F29CD492422B}"/>
    <hyperlink ref="AU98" r:id="rId151" xr:uid="{49CB1928-6E07-43D7-9757-1610F2ADEE00}"/>
    <hyperlink ref="AU101" r:id="rId152" xr:uid="{ED820251-65D1-472F-9D22-28183F220F20}"/>
    <hyperlink ref="AU104" r:id="rId153" xr:uid="{49B339EE-8212-42A4-9156-ABB4B00960CD}"/>
    <hyperlink ref="AU105" r:id="rId154" xr:uid="{F80F573F-FCFD-44EE-8825-3975AE1F1DBE}"/>
    <hyperlink ref="AU106" r:id="rId155" xr:uid="{C8D46DE7-912F-46C6-B62C-F5F6117069FF}"/>
    <hyperlink ref="AU110" r:id="rId156" xr:uid="{53B5F510-FD79-4E9E-B27B-9563A1234C2F}"/>
    <hyperlink ref="AU109" r:id="rId157" xr:uid="{0AA4FAA5-8309-48C1-9F7A-2FE6214FCA60}"/>
    <hyperlink ref="AU107" r:id="rId158" xr:uid="{741335AB-94BD-4E03-BA9C-CC7ABCA20065}"/>
    <hyperlink ref="AU111" r:id="rId159" xr:uid="{A0AEE27F-772B-4385-AA05-1F4059858C46}"/>
    <hyperlink ref="AS5" r:id="rId160" xr:uid="{0A9AAF73-B9D2-4E07-8924-D7A27F14EB79}"/>
    <hyperlink ref="AS3" r:id="rId161" xr:uid="{83EA374E-D102-4B40-984E-5A5F7146E949}"/>
    <hyperlink ref="AS11" r:id="rId162" xr:uid="{BE913442-B183-4BE9-8729-3B3CB587333F}"/>
    <hyperlink ref="AS23" r:id="rId163" xr:uid="{12A3E024-7516-4C52-B194-09D448DDF811}"/>
    <hyperlink ref="AS26" r:id="rId164" xr:uid="{45F0BD1F-5EE5-4742-86C4-691C12946E8D}"/>
    <hyperlink ref="AS45" r:id="rId165" xr:uid="{EF5F436A-FD9D-4968-B40F-F07CCFA1B7A8}"/>
    <hyperlink ref="AS52" r:id="rId166" xr:uid="{19A06276-23CF-4799-B21B-BD2EA1BEB484}"/>
    <hyperlink ref="AS56" r:id="rId167" xr:uid="{88E2E143-3E84-4BFA-AF37-635DFED15710}"/>
    <hyperlink ref="AS59" r:id="rId168" xr:uid="{CFC526CA-FCF4-4453-B2BE-8668B570CCAB}"/>
    <hyperlink ref="AS60" r:id="rId169" xr:uid="{7416074C-C417-471E-86D1-1A89F52573CE}"/>
    <hyperlink ref="AS61" r:id="rId170" xr:uid="{756F9D2B-C0F5-47A6-82BE-9AEB695FD069}"/>
    <hyperlink ref="AS68" r:id="rId171" xr:uid="{D3E438F1-BFE2-4BE9-99E9-AB1B276AC569}"/>
    <hyperlink ref="AS77" r:id="rId172" xr:uid="{C6880B50-F740-400C-A3D7-078720984EAA}"/>
    <hyperlink ref="AS78" r:id="rId173" xr:uid="{CDF8C258-D3CE-4B5B-A9E3-C1EB819958AD}"/>
    <hyperlink ref="AS79" r:id="rId174" xr:uid="{360ABE1F-2F74-4972-96B7-AFA27B9E1AD1}"/>
    <hyperlink ref="AS82" r:id="rId175" xr:uid="{C9F7885C-9CBB-48CF-9BF8-A248939845C0}"/>
    <hyperlink ref="AS84" r:id="rId176" xr:uid="{391834BA-2DF6-4105-BD25-564519B91CF6}"/>
    <hyperlink ref="AS88" r:id="rId177" xr:uid="{35A45CFE-7AF1-463B-96AB-C06CF1879BFD}"/>
    <hyperlink ref="AS89" r:id="rId178" xr:uid="{C2CA7159-98B4-450C-AC61-73CF1526E9D3}"/>
    <hyperlink ref="AS90" r:id="rId179" xr:uid="{C40E95BB-CEFF-410D-9FDE-C9C92C3267B4}"/>
    <hyperlink ref="AS92" r:id="rId180" xr:uid="{597B42CC-F312-4B22-8F4B-D0C59E2934F4}"/>
    <hyperlink ref="AS94" r:id="rId181" xr:uid="{739A13DB-D2A0-4E9B-A354-61F2F2B26E4B}"/>
    <hyperlink ref="AS95" r:id="rId182" xr:uid="{AE4DC6DF-9D37-4D33-B236-6FEBD25E8549}"/>
    <hyperlink ref="AS97" r:id="rId183" xr:uid="{9077AC25-862D-46B5-AD98-4D45C1E8E6F2}"/>
    <hyperlink ref="AS98" r:id="rId184" xr:uid="{BA6CDC2D-6988-4201-96D4-95CB5418516B}"/>
    <hyperlink ref="AS101" r:id="rId185" xr:uid="{916247F5-601B-4BC4-B8AC-F0222DC488E4}"/>
    <hyperlink ref="AS104" r:id="rId186" xr:uid="{6F483AF0-F931-4370-91BD-4B226F016556}"/>
    <hyperlink ref="AS105" r:id="rId187" xr:uid="{60C68E47-3B38-4B01-B6E8-3CBFDD421BE0}"/>
    <hyperlink ref="AS106" r:id="rId188" xr:uid="{527B8930-B7AC-45EB-A1CB-8C25BC0179E4}"/>
    <hyperlink ref="AS107" r:id="rId189" xr:uid="{E46D47C4-456F-45C2-80E0-DDE5CACB2BA9}"/>
    <hyperlink ref="AS109" r:id="rId190" xr:uid="{EF30D7FB-FF15-4CB8-A56F-88CD077BCFA9}"/>
    <hyperlink ref="AS110" r:id="rId191" xr:uid="{CA07B717-F3C7-4FB6-8F03-E454B6BF5C32}"/>
    <hyperlink ref="AS111" r:id="rId192" xr:uid="{8EB658C0-39DB-4E87-A025-93710B8C0E9D}"/>
    <hyperlink ref="AS6" r:id="rId193" xr:uid="{8B807C9E-A643-4F0D-8B1A-1E25D6F19230}"/>
    <hyperlink ref="AS7" r:id="rId194" xr:uid="{650A2C9B-9F11-49B4-A8C2-9AB304F9CE49}"/>
    <hyperlink ref="AS28" r:id="rId195" xr:uid="{54D2B0AD-6EA8-4CC8-B862-7F8ACE8AEB92}"/>
    <hyperlink ref="AU27" r:id="rId196" xr:uid="{0FDAD422-06E1-4F6B-8B1E-49274EA50352}"/>
    <hyperlink ref="AU31" r:id="rId197" xr:uid="{90ECB926-482F-4527-AD29-C6152E37090F}"/>
    <hyperlink ref="AU32" r:id="rId198" xr:uid="{9361FD97-835E-470F-9CF4-1D8FFD7D0A91}"/>
    <hyperlink ref="AU33" r:id="rId199" xr:uid="{B8DA9D35-D9CB-4486-93C1-710190513D68}"/>
    <hyperlink ref="AU34" r:id="rId200" xr:uid="{2E0920EC-22B0-4534-977A-45A7A03CF73A}"/>
    <hyperlink ref="AU36" r:id="rId201" xr:uid="{24037202-4904-47CA-AD6B-D0DF0FD6C8DD}"/>
    <hyperlink ref="AU41" r:id="rId202" xr:uid="{E2A4FC1D-FA23-43D7-A85E-935F2A28E63F}"/>
    <hyperlink ref="AU38" r:id="rId203" xr:uid="{32692E1F-9EDD-40F9-B910-6BA748E21281}"/>
    <hyperlink ref="AU44" r:id="rId204" xr:uid="{096892A6-60F4-44F7-B8B7-9DD037AC0272}"/>
    <hyperlink ref="AU29" r:id="rId205" xr:uid="{4912D4B2-D43E-479F-B603-F399CD736950}"/>
    <hyperlink ref="AU30" r:id="rId206" xr:uid="{93DC8D4E-08B3-41A5-AB17-7E4EED1132B7}"/>
    <hyperlink ref="AU35" r:id="rId207" xr:uid="{55FD757A-5666-4597-87C0-4BA5921A5727}"/>
    <hyperlink ref="AU37" r:id="rId208" xr:uid="{E1D4B99F-4028-46C1-A317-AC9A024B7BFA}"/>
    <hyperlink ref="AU39" r:id="rId209" xr:uid="{745D02CA-9BB9-4975-A98F-367FCD117C43}"/>
    <hyperlink ref="AU40" r:id="rId210" xr:uid="{38A0B57A-192E-4012-87AC-10CB689FB2A0}"/>
    <hyperlink ref="AU42" r:id="rId211" xr:uid="{0E70A3DE-CA64-464F-8D05-2FC8A17A71ED}"/>
    <hyperlink ref="AU43" r:id="rId212" xr:uid="{D67381B9-2B8D-4794-BB64-19FCF08F879E}"/>
    <hyperlink ref="AT20" r:id="rId213" xr:uid="{B121602F-5253-4184-8321-8297EC68827A}"/>
    <hyperlink ref="AU51" r:id="rId214" xr:uid="{A42D20E6-01EA-4D53-8A3E-6C7ECFF12AA3}"/>
    <hyperlink ref="AT73" r:id="rId215" xr:uid="{D462E8D5-3FF9-4B8A-A99D-5F8C811DE20D}"/>
    <hyperlink ref="AT86" r:id="rId216" xr:uid="{EEFD5D06-C6C0-45E4-A97B-AE769374A2E1}"/>
    <hyperlink ref="AT112" r:id="rId217" xr:uid="{4D4608C9-5AD4-40AC-B456-16865FD6566C}"/>
    <hyperlink ref="AT2" r:id="rId218" xr:uid="{B59095EE-B046-4A5D-A432-82D58FA2B219}"/>
    <hyperlink ref="AT8" r:id="rId219" xr:uid="{53FE778C-B2F7-46F2-A035-F1E1323FC709}"/>
    <hyperlink ref="AT14" r:id="rId220" xr:uid="{1C53745F-AD9F-4922-BADC-A6E61ADFD151}"/>
    <hyperlink ref="AT42" r:id="rId221" xr:uid="{DA55656C-F5F5-4434-9323-417A4D80395A}"/>
    <hyperlink ref="AT36" r:id="rId222" xr:uid="{DEF2DC2C-8582-4CB6-A565-3E9DCC8E10A8}"/>
    <hyperlink ref="AT74" r:id="rId223" xr:uid="{7AD29A14-C49A-433F-9D89-A2CF3A5F5184}"/>
    <hyperlink ref="AT102" r:id="rId224" xr:uid="{99A9DE8C-7D01-4CA9-A973-D40F5AF563DB}"/>
    <hyperlink ref="AT108" r:id="rId225" xr:uid="{F8F08AA6-3DB7-4760-8387-D6E777FDDD0C}"/>
    <hyperlink ref="AT113" r:id="rId226" xr:uid="{EAAD7A3A-A721-4520-8AB0-79B478E3A5CD}"/>
    <hyperlink ref="AT114" r:id="rId227" xr:uid="{A6F40366-E289-4179-BCCF-63D45424B9DF}"/>
    <hyperlink ref="AT96" r:id="rId228" xr:uid="{DD125231-176A-4850-89D3-AA9C5A76ACDA}"/>
    <hyperlink ref="AT115" r:id="rId229" xr:uid="{7B0E1005-003C-45D0-B51A-44231FB9F625}"/>
    <hyperlink ref="AT66" r:id="rId230" xr:uid="{83172871-F7FC-4D47-A178-B1A03936827B}"/>
    <hyperlink ref="AT99" r:id="rId231" xr:uid="{F3D4FF44-5E0A-41C7-B338-47A303D80FE8}"/>
    <hyperlink ref="AT100" r:id="rId232" xr:uid="{F67D67E2-7F0A-48F5-BB63-7C6F6F302783}"/>
    <hyperlink ref="AT103" r:id="rId233" xr:uid="{2D47CABA-F6A1-459D-95C8-2EE56CCF0688}"/>
    <hyperlink ref="AT22" r:id="rId234" xr:uid="{D0FBEA1F-EBB2-4F0B-861A-A0D90DB50D9A}"/>
    <hyperlink ref="AT27" r:id="rId235" xr:uid="{B0D4174E-9CF8-437C-B0B4-E06B4F4EE5F3}"/>
    <hyperlink ref="AT37" r:id="rId236" xr:uid="{A0C2E35C-15C4-4251-9E87-3C1CEA28E1C8}"/>
    <hyperlink ref="AT34" r:id="rId237" xr:uid="{9FBC9AC0-F977-4645-9623-2B6EB99B5EB1}"/>
    <hyperlink ref="AU17" r:id="rId238" xr:uid="{3EE25B15-799B-4FEF-B168-7FBE7D077DD6}"/>
    <hyperlink ref="AT61" r:id="rId239" xr:uid="{DB1540DE-D1D7-4C0E-B6CB-6B665321D450}"/>
    <hyperlink ref="AS12" r:id="rId240" xr:uid="{2A72C1C9-7E32-4AC0-ABA0-53CDB3B9E61C}"/>
    <hyperlink ref="AS15" r:id="rId241" xr:uid="{35646E24-FE01-4396-9EFE-1FF327440EC6}"/>
    <hyperlink ref="AS31" r:id="rId242" xr:uid="{E1214F57-28E5-4C89-8719-91803948697B}"/>
    <hyperlink ref="AT3" r:id="rId243" xr:uid="{91697F7F-0F91-40F0-BF0A-30A5515D28F3}"/>
    <hyperlink ref="AT5" r:id="rId244" xr:uid="{BFF1442C-2EF3-4E28-B9B5-11B54465A518}"/>
    <hyperlink ref="AT11" r:id="rId245" xr:uid="{AD94096F-DE06-4C2A-905E-A333E287C0C3}"/>
    <hyperlink ref="AT23" r:id="rId246" xr:uid="{0ECE32B6-72C8-4B34-8305-3367BCEF946E}"/>
    <hyperlink ref="AT26" r:id="rId247" xr:uid="{E690BC9F-E2E1-43BA-9152-6B765C8F2B7F}"/>
    <hyperlink ref="AT28" r:id="rId248" xr:uid="{E51582A0-3A09-4692-84A2-89F4707940B5}"/>
    <hyperlink ref="AT106" r:id="rId249" xr:uid="{3A079815-DCA8-46A3-B797-C4F90EF861EC}"/>
    <hyperlink ref="AT107" r:id="rId250" xr:uid="{25A95BC4-2967-4722-8175-94BC192DAA78}"/>
    <hyperlink ref="AT110" r:id="rId251" xr:uid="{A887DC85-C6CA-4725-9D9F-BC1A4775D236}"/>
    <hyperlink ref="AT104" r:id="rId252" xr:uid="{53307E29-D292-4DC0-A1F9-EC2C9BDD74B0}"/>
    <hyperlink ref="AT98" r:id="rId253" xr:uid="{7A0ABCD2-B6FE-47AC-B7A1-B4324F773DF0}"/>
    <hyperlink ref="AU21" r:id="rId254" xr:uid="{D2DBFD11-F7CE-42A4-9810-DEFDAE45CB99}"/>
    <hyperlink ref="AT21" r:id="rId255" xr:uid="{8DF4F945-0859-45A5-B7A4-5AC7E5747725}"/>
    <hyperlink ref="AU55" r:id="rId256" xr:uid="{68E4156C-BC2C-4FDC-98DE-98E2F78F507D}"/>
    <hyperlink ref="AT6" r:id="rId257" xr:uid="{4D3D55FC-63CC-4A2D-A408-0242FBD35B58}"/>
    <hyperlink ref="AT9" r:id="rId258" xr:uid="{ADBB6283-0658-4D25-9C4F-A3787A5C1282}"/>
    <hyperlink ref="AT12" r:id="rId259" xr:uid="{D9E9911C-2154-4F21-8E61-1428482CFF72}"/>
    <hyperlink ref="AT15" r:id="rId260" xr:uid="{AC3BD3EF-588A-4F92-9FFF-01BBED28BD55}"/>
    <hyperlink ref="AT31" r:id="rId261" xr:uid="{E577E0C7-ED7D-4A27-A81B-7B6178476CBE}"/>
    <hyperlink ref="AT85" r:id="rId262" xr:uid="{FFEAC76A-FDD9-4FE3-95C3-EE1328C24639}"/>
    <hyperlink ref="AW2" r:id="rId263" xr:uid="{7F9DDEA5-462F-4120-9E86-9A1F701550D6}"/>
    <hyperlink ref="AW3" r:id="rId264" xr:uid="{85127787-4CD2-41F8-926E-12410B213962}"/>
    <hyperlink ref="AW4" r:id="rId265" xr:uid="{A59D6CB6-02EA-490C-B9F7-6F1D52E5E594}"/>
    <hyperlink ref="AW5" r:id="rId266" xr:uid="{09146D59-C31D-4F75-A2A3-40114CBF1255}"/>
    <hyperlink ref="AW6" r:id="rId267" xr:uid="{90008D29-987C-4186-8806-F6AC51318E7B}"/>
    <hyperlink ref="AW7" r:id="rId268" xr:uid="{99925777-5F36-450E-9D08-95C336C852A3}"/>
    <hyperlink ref="AW8" r:id="rId269" xr:uid="{911BEE3C-5A38-46CE-9BBB-BC0EFE71171B}"/>
    <hyperlink ref="AW9" r:id="rId270" xr:uid="{D128F550-B9DD-4CBB-B056-973A525FF9B8}"/>
    <hyperlink ref="AW10" r:id="rId271" xr:uid="{5723F100-AD7F-43D6-8D63-F8C508E01EC7}"/>
    <hyperlink ref="AW11" r:id="rId272" xr:uid="{84BB72E6-1219-406D-9D3E-AE6D1CA97B78}"/>
    <hyperlink ref="AW12" r:id="rId273" xr:uid="{D69A6C6D-58FD-4CBC-BD3B-2A58481E71BA}"/>
    <hyperlink ref="AW13" r:id="rId274" xr:uid="{337297CA-4E88-4304-8A69-FEA3BBDD0EA8}"/>
    <hyperlink ref="AW14" r:id="rId275" xr:uid="{399E6A5B-7D90-4D77-A2C8-DD76365BD71A}"/>
    <hyperlink ref="AW15" r:id="rId276" xr:uid="{15147D31-198C-42ED-9072-63C58EB6ABD0}"/>
    <hyperlink ref="AW16" r:id="rId277" xr:uid="{0C35F7D1-6F6E-409A-9991-DA4C3EE7A63A}"/>
    <hyperlink ref="AW17" r:id="rId278" xr:uid="{F4924B59-EDE1-4E76-AB08-5968DB9C3B4C}"/>
    <hyperlink ref="AW18" r:id="rId279" xr:uid="{440E482B-EFF6-46B9-9991-98AB686EF06A}"/>
    <hyperlink ref="AW19" r:id="rId280" xr:uid="{5B23DCBF-411E-439B-8A2C-11BD0C2DAE64}"/>
    <hyperlink ref="AW20" r:id="rId281" xr:uid="{7B6E846B-5A3E-4D8A-A046-969989EF9DE0}"/>
    <hyperlink ref="AW21" r:id="rId282" xr:uid="{03F06378-BDEC-44C2-BE0B-34BBC52796C1}"/>
    <hyperlink ref="AW22" r:id="rId283" xr:uid="{27F848E5-629F-47BD-9E1C-9B33546BC5BF}"/>
    <hyperlink ref="AW23" r:id="rId284" xr:uid="{BF2F680E-4640-4782-9ABE-54E8F70A8E9A}"/>
    <hyperlink ref="AW24" r:id="rId285" xr:uid="{47A4EA96-2F0B-46BC-9C50-138E8185026B}"/>
    <hyperlink ref="AW25" r:id="rId286" xr:uid="{4978F5D2-30C7-45B9-94D1-CAEE349AF341}"/>
    <hyperlink ref="AW26" r:id="rId287" xr:uid="{54409E57-B574-435C-A69C-BD047D0FCE0E}"/>
    <hyperlink ref="AW27" r:id="rId288" xr:uid="{341F3038-07F3-4A53-9D8E-20709115FA43}"/>
    <hyperlink ref="AW28" r:id="rId289" xr:uid="{ACE1116E-F1FF-410D-A257-54936D8C0BEF}"/>
    <hyperlink ref="AW29" r:id="rId290" xr:uid="{8BEE9E0B-4D9C-478E-B720-FA3CAB3E43CC}"/>
    <hyperlink ref="AW30" r:id="rId291" xr:uid="{2BAE2848-34E8-4870-8D91-5D5E7DF41B0E}"/>
    <hyperlink ref="AW31" r:id="rId292" xr:uid="{06847687-597D-412E-871D-B71858426680}"/>
    <hyperlink ref="AW32" r:id="rId293" xr:uid="{537EFBBB-051E-4F81-978E-54D8C276D597}"/>
    <hyperlink ref="AW33" r:id="rId294" xr:uid="{5E9D3C17-A649-49BA-9D00-FA7952A17BF5}"/>
    <hyperlink ref="AW34" r:id="rId295" xr:uid="{8CF07F5D-663B-49B6-92EA-F44C9FE33F98}"/>
    <hyperlink ref="AW35" r:id="rId296" xr:uid="{A70F6EBD-A514-40D6-99B6-3C4E13E1DCB4}"/>
    <hyperlink ref="AW36" r:id="rId297" xr:uid="{82689855-2DE4-46E1-A268-25A6AC0B20A2}"/>
    <hyperlink ref="AW37" r:id="rId298" xr:uid="{02741429-F47F-4D7C-A318-D7CDB1BB9E73}"/>
    <hyperlink ref="AW38" r:id="rId299" xr:uid="{058C36C1-96FC-46F9-AF3C-2959FE8C2452}"/>
    <hyperlink ref="AW39" r:id="rId300" xr:uid="{F647348C-0212-4BAE-85F7-E31E2BD9DFF0}"/>
    <hyperlink ref="AW40" r:id="rId301" xr:uid="{97A1458C-6746-4B44-AB88-EC14A1D78053}"/>
    <hyperlink ref="AW41" r:id="rId302" xr:uid="{BF6C5A03-8802-4853-B527-11F394EDA4A5}"/>
    <hyperlink ref="AW42" r:id="rId303" xr:uid="{364A3C63-C4E7-45F4-8A62-11A5EEAE4BD3}"/>
    <hyperlink ref="AW43" r:id="rId304" xr:uid="{20958218-D773-4563-ADC6-9EA5AADC9A4E}"/>
    <hyperlink ref="AW44" r:id="rId305" xr:uid="{5CA5E7BB-1AF1-414D-9CC5-24BBDBE14EEF}"/>
    <hyperlink ref="AW45" r:id="rId306" xr:uid="{F67C7A3B-48D1-4C10-8036-C4EED0ABE9A6}"/>
    <hyperlink ref="AW46" r:id="rId307" xr:uid="{A8375A3C-6422-4C64-B0C7-ABE6AE47C8BF}"/>
    <hyperlink ref="AW47" r:id="rId308" xr:uid="{8C44EBDB-C693-4BA6-A165-3B2CE00B89D2}"/>
    <hyperlink ref="AW48" r:id="rId309" xr:uid="{F51D1F05-CF7B-45AC-86BC-54E6B1F53A46}"/>
    <hyperlink ref="AW49" r:id="rId310" xr:uid="{C2DC75B9-ED9E-4BE0-8665-08F6D072C557}"/>
    <hyperlink ref="AW51" r:id="rId311" xr:uid="{68A4C31C-BAB4-4B65-9D05-9F0D78E3D8E2}"/>
    <hyperlink ref="AW52" r:id="rId312" xr:uid="{F4DE5ADA-5479-4FF7-BC5E-2133195EB6D0}"/>
    <hyperlink ref="AW53" r:id="rId313" xr:uid="{98F97612-D67F-4FE7-A5BF-0A039158D418}"/>
    <hyperlink ref="AW54" r:id="rId314" xr:uid="{097D9D93-07E5-4F53-8160-7CDB434CEE51}"/>
    <hyperlink ref="AW55" r:id="rId315" xr:uid="{94B6E3B1-99C3-4AC8-A247-5F33041DEA90}"/>
    <hyperlink ref="AW56" r:id="rId316" xr:uid="{14057651-46E9-4AB8-A89E-146E104D8C3B}"/>
    <hyperlink ref="AW57" r:id="rId317" xr:uid="{F290EBD9-CA1C-4FE5-9E5A-E5466018DF85}"/>
    <hyperlink ref="AW58" r:id="rId318" xr:uid="{F03225B9-97E7-493F-95FC-0A78F79864A9}"/>
    <hyperlink ref="AW59" r:id="rId319" xr:uid="{D6D3DA2A-2B8C-4EE6-A6AE-C7EBA16C50EF}"/>
    <hyperlink ref="AW60" r:id="rId320" xr:uid="{68FC2468-CF7C-488E-AC04-FB83B3931FB9}"/>
    <hyperlink ref="AW61" r:id="rId321" xr:uid="{B709F32D-9DB8-4D07-87D5-14601FDC65EA}"/>
    <hyperlink ref="AW62" r:id="rId322" xr:uid="{5A6A8F94-4BE8-4E8E-A37D-2694F3759B5B}"/>
    <hyperlink ref="AW63" r:id="rId323" xr:uid="{E231C925-9FFA-4650-AFE3-56AA884E6D73}"/>
    <hyperlink ref="AW64" r:id="rId324" xr:uid="{22DAB433-6F9C-4411-B237-FA8B109C43BD}"/>
    <hyperlink ref="AW65" r:id="rId325" xr:uid="{766A73E8-80A7-4AC4-B0C4-82BF395EC6E0}"/>
    <hyperlink ref="AW66" r:id="rId326" xr:uid="{4995662B-F1D0-4C04-848F-8094894B072C}"/>
    <hyperlink ref="AW67" r:id="rId327" xr:uid="{DE572933-99F5-41BE-9C0D-2A0D995C7C97}"/>
    <hyperlink ref="AW68" r:id="rId328" xr:uid="{F393EF2B-EA58-41DA-8EAD-42E3DABE6FEC}"/>
    <hyperlink ref="AW69" r:id="rId329" xr:uid="{8FC61293-9A1F-4DB2-922D-20E0B22ACF34}"/>
    <hyperlink ref="AW70" r:id="rId330" xr:uid="{17428B4C-8791-4735-BEF1-8133ACBEAC41}"/>
    <hyperlink ref="AW71" r:id="rId331" xr:uid="{590D56A6-D388-4BC2-A4AC-6E6586A13202}"/>
    <hyperlink ref="AW72" r:id="rId332" display="evisar bus soporte diagoniser" xr:uid="{9874C0AD-9C47-4EF6-9A01-B29FBAFE2D94}"/>
    <hyperlink ref="AW73" r:id="rId333" xr:uid="{89C526A0-24F6-49CD-9A24-151A111845D9}"/>
    <hyperlink ref="AW74" r:id="rId334" xr:uid="{D1A176E1-52F6-4485-8922-8E62CC43E53F}"/>
    <hyperlink ref="AW75" r:id="rId335" xr:uid="{7F81DBA5-75B1-4833-A5DC-9FEBDB8DDFBF}"/>
    <hyperlink ref="AW76" r:id="rId336" xr:uid="{D247569E-82E0-4030-8F7B-436040B8FD45}"/>
    <hyperlink ref="AW77" r:id="rId337" xr:uid="{F3B9AC15-69B9-47AF-947D-B92B3051BC7D}"/>
    <hyperlink ref="AW78" r:id="rId338" xr:uid="{0F7DD18A-309A-4069-A8A5-C5843000633C}"/>
    <hyperlink ref="AW79" r:id="rId339" xr:uid="{C7837AC8-EB80-4D45-8C6A-0DCD2E56EB84}"/>
    <hyperlink ref="AW80" r:id="rId340" xr:uid="{8307A666-3005-4A8C-AAC6-78946CCEFACD}"/>
    <hyperlink ref="AW81" r:id="rId341" xr:uid="{C56EB1C0-B991-47FB-8EDB-3933F5EDC3BE}"/>
    <hyperlink ref="AW83" r:id="rId342" xr:uid="{E1ECCA6D-AAB3-4769-9E2E-2886A3EC0542}"/>
    <hyperlink ref="AW84" r:id="rId343" xr:uid="{ABC4F228-F5C3-4BCA-BDB6-CC40CCE46F90}"/>
    <hyperlink ref="AW85" r:id="rId344" xr:uid="{D4A14CF6-F56E-4580-AF3A-4F1EC1983A4D}"/>
    <hyperlink ref="AW86" r:id="rId345" xr:uid="{19DE87BE-98A6-4284-90CF-E9137746FCCB}"/>
    <hyperlink ref="AW87" r:id="rId346" xr:uid="{7C7CCCE4-4B37-430D-BE29-06A12F3D4B8B}"/>
    <hyperlink ref="AW88" r:id="rId347" xr:uid="{672F0062-071F-455E-81FF-E423EC191334}"/>
    <hyperlink ref="AW89" r:id="rId348" xr:uid="{B993F69D-E0C1-4EEE-B13C-E7BA82B28A52}"/>
    <hyperlink ref="AW90" r:id="rId349" xr:uid="{1378304D-7283-46B5-9B8B-344C02E0E91B}"/>
    <hyperlink ref="AW91" r:id="rId350" xr:uid="{A30E59FB-8B04-40D7-9DF1-3980744BE5EC}"/>
    <hyperlink ref="AW92" r:id="rId351" xr:uid="{7387FDB6-A746-4B28-8061-F632C276A33C}"/>
    <hyperlink ref="AW93" r:id="rId352" xr:uid="{28B1F1EF-5D16-458C-8AFA-F6ADEE7A43B5}"/>
    <hyperlink ref="AW94" r:id="rId353" xr:uid="{DDFFA5B7-3F5E-4038-AB92-B6A3C2564447}"/>
    <hyperlink ref="AW95" r:id="rId354" xr:uid="{08B61151-43E5-4352-9236-C7580590455D}"/>
    <hyperlink ref="AW96" r:id="rId355" xr:uid="{CF275D17-F48E-4D69-90F8-E418DDC350CA}"/>
    <hyperlink ref="AW97" r:id="rId356" xr:uid="{5B3288A7-4D39-4189-85D3-DC822DD031ED}"/>
    <hyperlink ref="AW98" r:id="rId357" xr:uid="{6F7C8B38-4A51-4363-B2ED-D8523B1C2732}"/>
    <hyperlink ref="AW99" r:id="rId358" xr:uid="{B8FCBD16-BCF4-4598-B0E0-73C1721F4CD1}"/>
    <hyperlink ref="AW100" r:id="rId359" xr:uid="{25283616-3895-4D08-80F5-5B169340FB29}"/>
    <hyperlink ref="AW101" r:id="rId360" xr:uid="{E91537CC-EC79-4757-BB89-A117E3A81DBA}"/>
    <hyperlink ref="AW102" r:id="rId361" xr:uid="{A39E069D-2442-4A2D-ACC1-AD4D1CDE3161}"/>
    <hyperlink ref="AW103" r:id="rId362" xr:uid="{FF765675-337B-4A50-9CDC-7FC38219B200}"/>
    <hyperlink ref="AW104" r:id="rId363" xr:uid="{DE9566A5-ADE6-459F-890C-155D8BDF553E}"/>
    <hyperlink ref="AW105" r:id="rId364" xr:uid="{27D89CA5-09D0-4D70-B514-A0B9FBB6842C}"/>
    <hyperlink ref="AW106" r:id="rId365" xr:uid="{3BE96105-5148-43FB-9E86-6C859B53DC42}"/>
    <hyperlink ref="AW107" r:id="rId366" xr:uid="{D52D5A01-02A1-45E8-8C5A-0166E7C677A4}"/>
    <hyperlink ref="AW108" r:id="rId367" xr:uid="{12547AEF-5CB1-49B7-B532-BA628853FAEF}"/>
    <hyperlink ref="AW109" r:id="rId368" xr:uid="{E9615E64-848B-4745-B574-571A3457579B}"/>
    <hyperlink ref="AW110" r:id="rId369" xr:uid="{FD672311-A788-4D9D-8A50-F457048FDEFF}"/>
    <hyperlink ref="AW111" r:id="rId370" xr:uid="{9C35D26D-E000-4CE3-BAB3-8FC342DE7DBB}"/>
    <hyperlink ref="AW112" r:id="rId371" xr:uid="{641D1C5D-14E3-4940-B045-F5953B95F8FA}"/>
    <hyperlink ref="AW113" r:id="rId372" xr:uid="{48F118D0-5D92-4BCE-95B4-7209A41EE4FF}"/>
    <hyperlink ref="AW114" r:id="rId373" xr:uid="{469A648A-7EDE-4D0F-8293-2610890EB765}"/>
    <hyperlink ref="AW115" r:id="rId374" xr:uid="{4DE21A75-3974-49B6-9F77-17A7C6988ACB}"/>
    <hyperlink ref="AT97" r:id="rId375" xr:uid="{1E402D19-12EC-47DA-895E-DB71CDD17538}"/>
    <hyperlink ref="AT109" r:id="rId376" xr:uid="{B93BF89C-E123-461C-ACCE-253CC1133AF6}"/>
    <hyperlink ref="AT111" r:id="rId377" xr:uid="{B36711E9-D93C-43AF-B14D-2B11696F0BA2}"/>
    <hyperlink ref="AT105" r:id="rId378" xr:uid="{FA612754-2B0C-4D3B-A081-13A7D6D70DC7}"/>
    <hyperlink ref="AT101" r:id="rId379" xr:uid="{2D004522-04BD-4597-AC9E-02497E0118A2}"/>
    <hyperlink ref="AT18" r:id="rId380" xr:uid="{81FA550F-6F41-4F6B-9402-56099E8D679F}"/>
    <hyperlink ref="AT29" r:id="rId381" xr:uid="{0977AFAE-955E-4876-AFB0-B4A7E21681F2}"/>
    <hyperlink ref="AT30" r:id="rId382" xr:uid="{A858E486-148D-491F-B628-1A9CC9A15D4F}"/>
    <hyperlink ref="AT32" r:id="rId383" xr:uid="{9906D16A-F950-46F7-B006-21746C9B0B76}"/>
    <hyperlink ref="AT33" r:id="rId384" xr:uid="{A82541E4-9851-4406-AF0F-573136C2B898}"/>
    <hyperlink ref="AT35" r:id="rId385" xr:uid="{111F8A06-4380-4950-9AFD-E9C37F987492}"/>
    <hyperlink ref="AT38" r:id="rId386" xr:uid="{DC8CC766-DFAD-41E4-A0D8-719A2D1E3026}"/>
    <hyperlink ref="AT40" r:id="rId387" xr:uid="{D41090F5-B799-4B9C-9842-B9313D39F2A0}"/>
    <hyperlink ref="AT41" r:id="rId388" xr:uid="{89BD5331-A516-4927-95E0-D6BA0480B4CB}"/>
    <hyperlink ref="AT43" r:id="rId389" xr:uid="{1DF1A5A1-78A3-4D7D-BA13-04CD8B80ED25}"/>
    <hyperlink ref="AT44" r:id="rId390" xr:uid="{1B13AE5E-F353-425E-B18C-3E9C7B22F064}"/>
    <hyperlink ref="AT46" r:id="rId391" xr:uid="{E5323CC7-2114-4020-BA10-2EB52323DB1C}"/>
    <hyperlink ref="AT47" r:id="rId392" xr:uid="{80AA2B4C-08D0-4F80-9146-C2B5B1E99B0D}"/>
    <hyperlink ref="AT48" r:id="rId393" xr:uid="{B34A4D19-D39F-4C42-9517-ACF67958B174}"/>
    <hyperlink ref="AT49" r:id="rId394" xr:uid="{D9BDF4DB-0E6E-46CC-A1EB-2735D2E09826}"/>
    <hyperlink ref="AT50" r:id="rId395" xr:uid="{74C6B351-12A9-4FE4-9EC0-945A94ED41C6}"/>
    <hyperlink ref="AT51" r:id="rId396" xr:uid="{F11B1608-1EC1-46E8-8856-743E8F36B0CD}"/>
    <hyperlink ref="AT52" r:id="rId397" xr:uid="{C01BCD6C-18CB-4D4B-BA29-FC4AA8F69CBE}"/>
    <hyperlink ref="AT53" r:id="rId398" xr:uid="{BBB040DB-EFF2-44EF-B666-38A4EFF6A7D4}"/>
    <hyperlink ref="AT54" r:id="rId399" xr:uid="{24C4929B-0049-40EF-82F1-1674BA87255D}"/>
    <hyperlink ref="AT55" r:id="rId400" xr:uid="{6C9C9985-5E6E-4AA7-8053-B124C8DAB396}"/>
    <hyperlink ref="AT56" r:id="rId401" xr:uid="{766E2CFF-7111-4BF8-83F4-04F1EC0FA6BE}"/>
    <hyperlink ref="AT57" r:id="rId402" xr:uid="{B390DF2B-7012-48A1-B448-48E1508C2E5A}"/>
    <hyperlink ref="AT58" r:id="rId403" xr:uid="{9F991B39-EB6A-4149-94D8-67F6F9A7E526}"/>
    <hyperlink ref="AT59" r:id="rId404" xr:uid="{05CBA7AB-EDCF-44E6-A073-3BED674C0FE5}"/>
    <hyperlink ref="AT60" r:id="rId405" xr:uid="{4A96013E-CD0E-4945-A6AC-D22AD4C4D5DD}"/>
    <hyperlink ref="AT62" r:id="rId406" xr:uid="{BFD9419D-59C7-4FA5-8B30-52D2417F68C8}"/>
    <hyperlink ref="AT63" r:id="rId407" xr:uid="{E372ECA6-3E32-4233-9A05-6C2DF6EDA244}"/>
    <hyperlink ref="AT64" r:id="rId408" xr:uid="{B3AFFCEC-BE38-4ACB-95D7-0B7AB1C239C6}"/>
    <hyperlink ref="AT65" r:id="rId409" xr:uid="{EC37997E-A6CD-4916-A9FA-43184E0686D5}"/>
    <hyperlink ref="AT67" r:id="rId410" xr:uid="{508DAD2F-AA39-4AA7-92D0-813AC6E9CBD5}"/>
    <hyperlink ref="AT68" r:id="rId411" xr:uid="{2B9CC73D-4147-4B35-B278-559EA8273F42}"/>
    <hyperlink ref="AT69" r:id="rId412" xr:uid="{FAAC3F27-28BD-447B-B8EF-1DE9C6A6402F}"/>
    <hyperlink ref="AT70" r:id="rId413" xr:uid="{0BD9E52A-97FF-4E4E-A1C0-802285327A4D}"/>
    <hyperlink ref="AT71" r:id="rId414" xr:uid="{8DF1683B-CF1D-492C-B10F-3E5BDD2C3D0F}"/>
    <hyperlink ref="AT72" r:id="rId415" xr:uid="{AEEA798D-85D1-465F-986C-95F8A11BD2A5}"/>
    <hyperlink ref="AT75" r:id="rId416" xr:uid="{A869A12B-A3DE-4D1C-A1BE-F9C0E120205E}"/>
    <hyperlink ref="AT76" r:id="rId417" xr:uid="{034D359D-7A87-4CDD-A4BD-EC136B859117}"/>
    <hyperlink ref="AT77" r:id="rId418" xr:uid="{DD41147E-CFD9-4D86-B7D0-6125108FCC18}"/>
    <hyperlink ref="AT78" r:id="rId419" xr:uid="{131F62D2-4503-4DC9-87C0-6EB8ABC55FF7}"/>
    <hyperlink ref="AT79" r:id="rId420" xr:uid="{599DE840-64F0-4206-BCFA-86B7C1ADF688}"/>
    <hyperlink ref="AT80" r:id="rId421" xr:uid="{3200ADCC-C9AA-476B-AD73-1CA53D1B09AA}"/>
    <hyperlink ref="AT81" r:id="rId422" xr:uid="{82C9059B-9751-4BE1-9653-0CD867FCBDA0}"/>
    <hyperlink ref="AT82" r:id="rId423" xr:uid="{9E90E903-1A25-46D5-8378-160C82554BB4}"/>
    <hyperlink ref="AT83" r:id="rId424" xr:uid="{52BCFB92-D79E-4FBC-B7F4-A2F822161BA0}"/>
    <hyperlink ref="AT84" r:id="rId425" xr:uid="{AE032E2B-4D71-41AC-BFB8-664D0B78662E}"/>
    <hyperlink ref="AT87" r:id="rId426" xr:uid="{5CE71EF3-6274-4038-AE5B-1BED503D0CA7}"/>
    <hyperlink ref="AT88" r:id="rId427" xr:uid="{8E0FE614-B772-4D5C-AC31-F5B0376809A3}"/>
    <hyperlink ref="AT89" r:id="rId428" xr:uid="{16612D30-275E-4189-AE03-1BF29F10A038}"/>
    <hyperlink ref="AT90" r:id="rId429" xr:uid="{282FCF63-C09E-4A4A-8834-4614BE3ADF6D}"/>
    <hyperlink ref="AT91" r:id="rId430" xr:uid="{9719FB67-B606-4237-998A-CFAA457E4469}"/>
    <hyperlink ref="AT92" r:id="rId431" xr:uid="{5005A90C-CAEF-4549-B158-BE4422E9F0F5}"/>
    <hyperlink ref="AT93" r:id="rId432" xr:uid="{39CD66D7-C3E0-47E4-A1DC-D3AB98EF0FD5}"/>
    <hyperlink ref="AT45" r:id="rId433" xr:uid="{7B2A5DF0-BD98-4F99-B0C1-A664D29A6A37}"/>
    <hyperlink ref="AT94" r:id="rId434" xr:uid="{4BBFA9C4-D3D8-4248-BC60-197FB9D5DCFD}"/>
    <hyperlink ref="AT95" r:id="rId435" xr:uid="{40074EBF-F462-4647-9A0B-BDDE2FAA808F}"/>
  </hyperlinks>
  <pageMargins left="0.7" right="0.7" top="0.75" bottom="0.75" header="0.3" footer="0.3"/>
  <pageSetup paperSize="9" orientation="portrait" horizontalDpi="90" verticalDpi="90" r:id="rId436"/>
  <legacyDrawing r:id="rId4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0A7C68F8FC63D4E863B58BC3E568919" ma:contentTypeVersion="13" ma:contentTypeDescription="Crear nuevo documento." ma:contentTypeScope="" ma:versionID="69cf00b1038a7a7fa42e3dae96ce7a9d">
  <xsd:schema xmlns:xsd="http://www.w3.org/2001/XMLSchema" xmlns:xs="http://www.w3.org/2001/XMLSchema" xmlns:p="http://schemas.microsoft.com/office/2006/metadata/properties" xmlns:ns2="f80442ea-4a00-4e59-b99e-fbf9aad4e641" xmlns:ns3="e97e9979-510e-4255-b603-1961139aecd4" targetNamespace="http://schemas.microsoft.com/office/2006/metadata/properties" ma:root="true" ma:fieldsID="855f6becfd3ede14e5d0272b9f3557bf" ns2:_="" ns3:_="">
    <xsd:import namespace="f80442ea-4a00-4e59-b99e-fbf9aad4e641"/>
    <xsd:import namespace="e97e9979-510e-4255-b603-1961139aec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0442ea-4a00-4e59-b99e-fbf9aad4e6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7e9979-510e-4255-b603-1961139aecd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188213c-8788-437c-802a-457dba551f74}" ma:internalName="TaxCatchAll" ma:showField="CatchAllData" ma:web="e97e9979-510e-4255-b603-1961139aec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80442ea-4a00-4e59-b99e-fbf9aad4e641">
      <Terms xmlns="http://schemas.microsoft.com/office/infopath/2007/PartnerControls"/>
    </lcf76f155ced4ddcb4097134ff3c332f>
    <TaxCatchAll xmlns="e97e9979-510e-4255-b603-1961139aecd4" xsi:nil="true"/>
  </documentManagement>
</p:properties>
</file>

<file path=customXml/itemProps1.xml><?xml version="1.0" encoding="utf-8"?>
<ds:datastoreItem xmlns:ds="http://schemas.openxmlformats.org/officeDocument/2006/customXml" ds:itemID="{6997314B-C808-4CFE-B6FA-C9EF4F7F25AF}">
  <ds:schemaRefs>
    <ds:schemaRef ds:uri="http://schemas.microsoft.com/sharepoint/v3/contenttype/forms"/>
  </ds:schemaRefs>
</ds:datastoreItem>
</file>

<file path=customXml/itemProps2.xml><?xml version="1.0" encoding="utf-8"?>
<ds:datastoreItem xmlns:ds="http://schemas.openxmlformats.org/officeDocument/2006/customXml" ds:itemID="{0375D781-715D-4989-B8E7-B2A333C844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0442ea-4a00-4e59-b99e-fbf9aad4e641"/>
    <ds:schemaRef ds:uri="e97e9979-510e-4255-b603-1961139aec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0843E4-4EFE-4AB4-A686-E7EB3FDFA82A}">
  <ds:schemaRefs>
    <ds:schemaRef ds:uri="http://purl.org/dc/dcmitype/"/>
    <ds:schemaRef ds:uri="http://schemas.openxmlformats.org/package/2006/metadata/core-properties"/>
    <ds:schemaRef ds:uri="http://purl.org/dc/terms/"/>
    <ds:schemaRef ds:uri="http://purl.org/dc/elements/1.1/"/>
    <ds:schemaRef ds:uri="http://schemas.microsoft.com/office/infopath/2007/PartnerControls"/>
    <ds:schemaRef ds:uri="http://www.w3.org/XML/1998/namespace"/>
    <ds:schemaRef ds:uri="http://schemas.microsoft.com/office/2006/documentManagement/types"/>
    <ds:schemaRef ds:uri="e97e9979-510e-4255-b603-1961139aecd4"/>
    <ds:schemaRef ds:uri="f80442ea-4a00-4e59-b99e-fbf9aad4e641"/>
    <ds:schemaRef ds:uri="http://schemas.microsoft.com/office/2006/metadata/properties"/>
  </ds:schemaRefs>
</ds:datastoreItem>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Capacidades</vt:lpstr>
      <vt:lpstr>Tribus</vt:lpstr>
      <vt:lpstr>Puertos</vt:lpstr>
      <vt:lpstr>Matriz a proveedor</vt:lpstr>
      <vt:lpstr>Criterios de complejidad</vt:lpstr>
      <vt:lpstr>Validacion de servicios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LARA GUALANCANAY LORENA PRISCILA</dc:creator>
  <cp:keywords/>
  <dc:description/>
  <cp:lastModifiedBy>Kevin Alexander Armas Tobar</cp:lastModifiedBy>
  <cp:revision/>
  <dcterms:created xsi:type="dcterms:W3CDTF">2025-11-11T15:55:51Z</dcterms:created>
  <dcterms:modified xsi:type="dcterms:W3CDTF">2026-04-28T17:14:25Z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0x01010050A7C68F8FC63D4E863B58BC3E568919</vt:lpwstr>
  </property>
  <property fmtid="{D5CDD505-2E9C-101B-9397-08002B2CF9AE}" pid="3" name="MediaServiceImageTags">
    <vt:lpwstr/>
  </property>
  <property fmtid="{D5CDD505-2E9C-101B-9397-08002B2CF9AE}" pid="4" name="KriptosClassAi">
    <vt:lpwstr>3-Estrictamente Confidencial</vt:lpwstr>
  </property>
</Properties>
</file>